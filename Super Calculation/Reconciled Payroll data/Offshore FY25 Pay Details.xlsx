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BigBoats\Super Calculation\Reconciled Payroll data\"/>
    </mc:Choice>
  </mc:AlternateContent>
  <xr:revisionPtr revIDLastSave="0" documentId="8_{A3D6D081-230B-4C41-9C7E-B973DFAA7B30}" xr6:coauthVersionLast="47" xr6:coauthVersionMax="47" xr10:uidLastSave="{00000000-0000-0000-0000-000000000000}"/>
  <bookViews>
    <workbookView xWindow="-120" yWindow="-120" windowWidth="29040" windowHeight="15720" activeTab="1" xr2:uid="{07213B08-020B-4303-902C-C323B3D22600}"/>
  </bookViews>
  <sheets>
    <sheet name="Sheet1" sheetId="2" r:id="rId1"/>
    <sheet name="With_Rates" sheetId="1" r:id="rId2"/>
  </sheets>
  <definedNames>
    <definedName name="_xlnm._FilterDatabase" localSheetId="1" hidden="1">With_Rates!$A$1:$R$201</definedName>
  </definedNames>
  <calcPr calcId="0"/>
  <pivotCaches>
    <pivotCache cacheId="3" r:id="rId3"/>
  </pivotCaches>
</workbook>
</file>

<file path=xl/calcChain.xml><?xml version="1.0" encoding="utf-8"?>
<calcChain xmlns="http://schemas.openxmlformats.org/spreadsheetml/2006/main">
  <c r="N196" i="1" l="1"/>
  <c r="N184" i="1"/>
  <c r="N170" i="1"/>
  <c r="N154" i="1"/>
  <c r="N141" i="1"/>
  <c r="N125" i="1"/>
  <c r="N107" i="1"/>
  <c r="N91" i="1"/>
  <c r="N66" i="1"/>
  <c r="N50" i="1"/>
  <c r="N34" i="1"/>
  <c r="N14" i="1"/>
  <c r="N191" i="1"/>
  <c r="N178" i="1"/>
  <c r="N161" i="1"/>
  <c r="N149" i="1"/>
  <c r="N134" i="1"/>
  <c r="N116" i="1"/>
  <c r="N99" i="1"/>
  <c r="N84" i="1"/>
  <c r="N61" i="1"/>
  <c r="N45" i="1"/>
  <c r="N27" i="1"/>
  <c r="N7" i="1"/>
</calcChain>
</file>

<file path=xl/sharedStrings.xml><?xml version="1.0" encoding="utf-8"?>
<sst xmlns="http://schemas.openxmlformats.org/spreadsheetml/2006/main" count="988" uniqueCount="61">
  <si>
    <t>Period Ending</t>
  </si>
  <si>
    <t>Code_</t>
  </si>
  <si>
    <t>Full Name</t>
  </si>
  <si>
    <t>Pay No.</t>
  </si>
  <si>
    <t>Line</t>
  </si>
  <si>
    <t>Code</t>
  </si>
  <si>
    <t>Description</t>
  </si>
  <si>
    <t>Hours/Value</t>
  </si>
  <si>
    <t>Pay Rate</t>
  </si>
  <si>
    <t>Addition</t>
  </si>
  <si>
    <t>Deduction</t>
  </si>
  <si>
    <t>Contrib</t>
  </si>
  <si>
    <t xml:space="preserve"> Total </t>
  </si>
  <si>
    <t>Cost Centre</t>
  </si>
  <si>
    <t>Emp Group</t>
  </si>
  <si>
    <t>Is Termination</t>
  </si>
  <si>
    <t>Pay Rate_Effective</t>
  </si>
  <si>
    <t>GARRY GEORGE ZISCHKE</t>
  </si>
  <si>
    <t>N</t>
  </si>
  <si>
    <t>NORMAL</t>
  </si>
  <si>
    <t>Normal</t>
  </si>
  <si>
    <t>-NO COSTING-</t>
  </si>
  <si>
    <t>E</t>
  </si>
  <si>
    <t>Super Guarantee 11.5%</t>
  </si>
  <si>
    <t>B</t>
  </si>
  <si>
    <t>ZISG</t>
  </si>
  <si>
    <t>GG &amp; LJ ZISCHKE</t>
  </si>
  <si>
    <t>T</t>
  </si>
  <si>
    <t>NORMTAX</t>
  </si>
  <si>
    <t>Tax</t>
  </si>
  <si>
    <t>GARTH JAMES IVOR CORBITT</t>
  </si>
  <si>
    <t>A</t>
  </si>
  <si>
    <t>MVGARTH</t>
  </si>
  <si>
    <t>MV ALLOWANCE GC</t>
  </si>
  <si>
    <t>CORG1</t>
  </si>
  <si>
    <t>JIG &amp; RG CORBITT</t>
  </si>
  <si>
    <t>PHILIP CANDLER</t>
  </si>
  <si>
    <t>AL</t>
  </si>
  <si>
    <t>Annual Leave</t>
  </si>
  <si>
    <t>LOAD</t>
  </si>
  <si>
    <t>Leave Loading</t>
  </si>
  <si>
    <t>CAR</t>
  </si>
  <si>
    <t>Car Allowance</t>
  </si>
  <si>
    <t>D</t>
  </si>
  <si>
    <t>SALSAC</t>
  </si>
  <si>
    <t>SALARY SACRIFICE</t>
  </si>
  <si>
    <t>CANP-MV</t>
  </si>
  <si>
    <t>Mr Philip Candler</t>
  </si>
  <si>
    <t>CANP</t>
  </si>
  <si>
    <t>PH</t>
  </si>
  <si>
    <t>Public Holiday</t>
  </si>
  <si>
    <t>SL</t>
  </si>
  <si>
    <t>Personal Leave</t>
  </si>
  <si>
    <t>20/09/24   Annual Leave</t>
  </si>
  <si>
    <t>LSLTERM</t>
  </si>
  <si>
    <t>Long Service LeaveTerm</t>
  </si>
  <si>
    <t>ALTERM</t>
  </si>
  <si>
    <t>Annual Leave on term</t>
  </si>
  <si>
    <t>LOADTERM</t>
  </si>
  <si>
    <t>Leave Loading Term Pay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</si>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</sst>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 Smith" refreshedDate="45974.490140162037" createdVersion="8" refreshedVersion="8" minRefreshableVersion="3" recordCount="200" xr:uid="{77F198BC-794C-4EFD-BB8D-EFF5BF00DBE5}">
  <cacheSource type="worksheet">
    <worksheetSource ref="B1:R201" sheet="With_Rates"/>
  </cacheSource>
  <cacheFields count="17">
    <cacheField name="Period Ending" numFmtId="14">
      <sharedItems containsSemiMixedTypes="0" containsNonDate="0" containsDate="1" containsString="0" minDate="2024-07-31T00:00:00" maxDate="2025-07-01T00:00:00"/>
    </cacheField>
    <cacheField name="Code_" numFmtId="0">
      <sharedItems containsNonDate="0" containsString="0" containsBlank="1"/>
    </cacheField>
    <cacheField name="Full Name" numFmtId="0">
      <sharedItems/>
    </cacheField>
    <cacheField name="Pay No." numFmtId="0">
      <sharedItems containsNonDate="0" containsString="0" containsBlank="1"/>
    </cacheField>
    <cacheField name="Line" numFmtId="0">
      <sharedItems/>
    </cacheField>
    <cacheField name="Code" numFmtId="0">
      <sharedItems containsMixedTypes="1" containsNumber="1" containsInteger="1" minValue="9" maxValue="9" count="18">
        <s v="NORMAL"/>
        <n v="9"/>
        <s v="ZISG"/>
        <s v="NORMTAX"/>
        <s v="MVGARTH"/>
        <s v="CORG1"/>
        <s v="AL"/>
        <s v="LOAD"/>
        <s v="CAR"/>
        <s v="SALSAC"/>
        <s v="CANP-MV"/>
        <s v="CANP"/>
        <s v="PH"/>
        <s v="SL"/>
        <s v="LSLTERM"/>
        <s v="ALTERM"/>
        <s v="LOADTERM"/>
        <s v="BONUS"/>
      </sharedItems>
    </cacheField>
    <cacheField name="Description" numFmtId="0">
      <sharedItems/>
    </cacheField>
    <cacheField name="Hours/Value" numFmtId="0">
      <sharedItems containsSemiMixedTypes="0" containsString="0" containsNumber="1" minValue="7.6" maxValue="83425.850000000006"/>
    </cacheField>
    <cacheField name="Pay Rate" numFmtId="0">
      <sharedItems containsSemiMixedTypes="0" containsString="0" containsNumber="1" minValue="1" maxValue="165.7355"/>
    </cacheField>
    <cacheField name="Addition" numFmtId="0">
      <sharedItems containsString="0" containsBlank="1" containsNumber="1" minValue="499.99" maxValue="47807.22"/>
    </cacheField>
    <cacheField name="Deduction" numFmtId="0">
      <sharedItems containsNonDate="0" containsString="0" containsBlank="1"/>
    </cacheField>
    <cacheField name="Contrib" numFmtId="0">
      <sharedItems containsSemiMixedTypes="0" containsString="0" containsNumber="1" containsInteger="1" minValue="0" maxValue="0"/>
    </cacheField>
    <cacheField name=" Total " numFmtId="0">
      <sharedItems containsString="0" containsBlank="1" containsNumber="1" minValue="113.08" maxValue="53811.66"/>
    </cacheField>
    <cacheField name="Cost Centre" numFmtId="0">
      <sharedItems/>
    </cacheField>
    <cacheField name="Emp Group" numFmtId="0">
      <sharedItems containsNonDate="0" containsString="0" containsBlank="1"/>
    </cacheField>
    <cacheField name="Is Termination" numFmtId="0">
      <sharedItems/>
    </cacheField>
    <cacheField name="Pay Rate_Effective" numFmtId="0">
      <sharedItems containsSemiMixedTypes="0" containsString="0" containsNumber="1" minValue="65.790000000000006" maxValue="165.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7-31T00:00:00"/>
    <m/>
    <s v="GARRY GEORGE ZISCHKE"/>
    <m/>
    <s v="N"/>
    <x v="0"/>
    <s v="Normal"/>
    <n v="164.67"/>
    <n v="65.7881"/>
    <n v="10833.33"/>
    <m/>
    <n v="0"/>
    <n v="10833.33"/>
    <s v="-NO COSTING-"/>
    <m/>
    <b v="0"/>
    <n v="65.790000000000006"/>
  </r>
  <r>
    <d v="2024-07-31T00:00:00"/>
    <m/>
    <s v="GARRY GEORGE ZISCHKE"/>
    <m/>
    <s v="E"/>
    <x v="1"/>
    <s v="Super Guarantee 11.5%"/>
    <n v="10833.33"/>
    <n v="11.5"/>
    <m/>
    <m/>
    <n v="0"/>
    <n v="1245.83"/>
    <s v="-NO COSTING-"/>
    <m/>
    <b v="0"/>
    <n v="65.790000000000006"/>
  </r>
  <r>
    <d v="2024-07-31T00:00:00"/>
    <m/>
    <s v="GARRY GEORGE ZISCHKE"/>
    <m/>
    <s v="B"/>
    <x v="2"/>
    <s v="GG &amp; LJ ZISCHKE"/>
    <n v="8129.33"/>
    <n v="1"/>
    <m/>
    <m/>
    <n v="0"/>
    <m/>
    <s v="-NO COSTING-"/>
    <m/>
    <b v="0"/>
    <n v="65.790000000000006"/>
  </r>
  <r>
    <d v="2024-07-31T00:00:00"/>
    <m/>
    <s v="GARRY GEORGE ZISCHKE"/>
    <m/>
    <s v="T"/>
    <x v="3"/>
    <s v="Tax"/>
    <n v="10833.33"/>
    <n v="24.96"/>
    <m/>
    <m/>
    <n v="0"/>
    <n v="2704"/>
    <s v="-NO COSTING-"/>
    <m/>
    <b v="0"/>
    <n v="65.790000000000006"/>
  </r>
  <r>
    <d v="2024-07-31T00:00:00"/>
    <m/>
    <s v="GARTH JAMES IVOR CORBITT"/>
    <m/>
    <s v="N"/>
    <x v="0"/>
    <s v="Normal"/>
    <n v="164.67"/>
    <n v="165.7355"/>
    <n v="27291.67"/>
    <m/>
    <n v="0"/>
    <n v="27291.67"/>
    <s v="-NO COSTING-"/>
    <m/>
    <b v="0"/>
    <n v="165.74"/>
  </r>
  <r>
    <d v="2024-07-31T00:00:00"/>
    <m/>
    <s v="GARTH JAMES IVOR CORBITT"/>
    <m/>
    <s v="A"/>
    <x v="4"/>
    <s v="MV ALLOWANCE GC"/>
    <n v="1666.67"/>
    <n v="1"/>
    <m/>
    <m/>
    <n v="0"/>
    <m/>
    <s v="-NO COSTING-"/>
    <m/>
    <b v="0"/>
    <n v="165.74"/>
  </r>
  <r>
    <d v="2024-07-31T00:00:00"/>
    <m/>
    <s v="GARTH JAMES IVOR CORBITT"/>
    <m/>
    <s v="E"/>
    <x v="1"/>
    <s v="Super Guarantee 11.5%"/>
    <n v="28958.34"/>
    <n v="11.5"/>
    <m/>
    <m/>
    <n v="0"/>
    <n v="3330.21"/>
    <s v="-NO COSTING-"/>
    <m/>
    <b v="0"/>
    <n v="165.74"/>
  </r>
  <r>
    <d v="2024-07-31T00:00:00"/>
    <m/>
    <s v="GARTH JAMES IVOR CORBITT"/>
    <m/>
    <s v="B"/>
    <x v="5"/>
    <s v="JIG &amp; RG CORBITT"/>
    <n v="18168.34"/>
    <n v="1"/>
    <m/>
    <m/>
    <n v="0"/>
    <m/>
    <s v="-NO COSTING-"/>
    <m/>
    <b v="0"/>
    <n v="165.74"/>
  </r>
  <r>
    <d v="2024-07-31T00:00:00"/>
    <m/>
    <s v="GARTH JAMES IVOR CORBITT"/>
    <m/>
    <s v="T"/>
    <x v="3"/>
    <s v="Tax"/>
    <n v="28958.34"/>
    <n v="37.26"/>
    <m/>
    <m/>
    <n v="0"/>
    <n v="10789.88"/>
    <s v="-NO COSTING-"/>
    <m/>
    <b v="0"/>
    <n v="165.74"/>
  </r>
  <r>
    <d v="2024-07-31T00:00:00"/>
    <m/>
    <s v="PHILIP CANDLER"/>
    <m/>
    <s v="N"/>
    <x v="0"/>
    <s v="Normal"/>
    <n v="81.069999999999993"/>
    <n v="85.020200000000003"/>
    <n v="6892.59"/>
    <m/>
    <n v="0"/>
    <n v="6892.59"/>
    <s v="-NO COSTING-"/>
    <m/>
    <b v="0"/>
    <n v="85.02"/>
  </r>
  <r>
    <d v="2024-07-31T00:00:00"/>
    <m/>
    <s v="PHILIP CANDLER"/>
    <m/>
    <s v="N"/>
    <x v="6"/>
    <s v="Annual Leave"/>
    <n v="83.6"/>
    <n v="85.020200000000003"/>
    <n v="7107.69"/>
    <m/>
    <n v="0"/>
    <n v="7107.69"/>
    <s v="-NO COSTING-"/>
    <m/>
    <b v="0"/>
    <n v="85.02"/>
  </r>
  <r>
    <d v="2024-07-31T00:00:00"/>
    <m/>
    <s v="PHILIP CANDLER"/>
    <m/>
    <s v="A"/>
    <x v="7"/>
    <s v="Leave Loading"/>
    <n v="83.6"/>
    <n v="17.5"/>
    <m/>
    <m/>
    <n v="0"/>
    <n v="1243.8399999999999"/>
    <s v="-NO COSTING-"/>
    <m/>
    <b v="0"/>
    <n v="85.02"/>
  </r>
  <r>
    <d v="2024-07-31T00:00:00"/>
    <m/>
    <s v="PHILIP CANDLER"/>
    <m/>
    <s v="A"/>
    <x v="8"/>
    <s v="Car Allowance"/>
    <n v="1833.33"/>
    <n v="1"/>
    <m/>
    <m/>
    <n v="0"/>
    <m/>
    <s v="-NO COSTING-"/>
    <m/>
    <b v="0"/>
    <n v="85.02"/>
  </r>
  <r>
    <d v="2024-07-31T00:00:00"/>
    <m/>
    <s v="PHILIP CANDLER"/>
    <m/>
    <s v="E"/>
    <x v="1"/>
    <s v="Super Guarantee 11.5%"/>
    <n v="14000.28"/>
    <n v="11.5"/>
    <m/>
    <m/>
    <n v="0"/>
    <n v="1610.03"/>
    <s v="-NO COSTING-"/>
    <m/>
    <b v="0"/>
    <n v="85.02"/>
  </r>
  <r>
    <d v="2024-07-31T00:00:00"/>
    <m/>
    <s v="PHILIP CANDLER"/>
    <m/>
    <s v="D"/>
    <x v="9"/>
    <s v="SALARY SACRIFICE"/>
    <n v="583.33000000000004"/>
    <n v="1"/>
    <m/>
    <m/>
    <n v="0"/>
    <n v="583.33000000000004"/>
    <s v="-NO COSTING-"/>
    <m/>
    <b v="0"/>
    <n v="85.02"/>
  </r>
  <r>
    <d v="2024-07-31T00:00:00"/>
    <m/>
    <s v="PHILIP CANDLER"/>
    <m/>
    <s v="B"/>
    <x v="10"/>
    <s v="Mr Philip Candler"/>
    <n v="1833.33"/>
    <n v="1"/>
    <m/>
    <m/>
    <n v="0"/>
    <m/>
    <s v="-NO COSTING-"/>
    <m/>
    <b v="0"/>
    <n v="85.02"/>
  </r>
  <r>
    <d v="2024-07-31T00:00:00"/>
    <m/>
    <s v="PHILIP CANDLER"/>
    <m/>
    <s v="B"/>
    <x v="11"/>
    <s v="PHILIP CANDLER"/>
    <n v="9724.7999999999993"/>
    <n v="1"/>
    <m/>
    <m/>
    <n v="0"/>
    <m/>
    <s v="-NO COSTING-"/>
    <m/>
    <b v="0"/>
    <n v="85.02"/>
  </r>
  <r>
    <d v="2024-07-31T00:00:00"/>
    <m/>
    <s v="PHILIP CANDLER"/>
    <m/>
    <s v="T"/>
    <x v="3"/>
    <s v="Tax"/>
    <n v="16494.13"/>
    <n v="29.93"/>
    <m/>
    <m/>
    <n v="0"/>
    <n v="4936.6899999999996"/>
    <s v="-NO COSTING-"/>
    <m/>
    <b v="0"/>
    <n v="85.02"/>
  </r>
  <r>
    <d v="2024-08-31T00:00:00"/>
    <m/>
    <s v="GARRY GEORGE ZISCHKE"/>
    <m/>
    <s v="N"/>
    <x v="0"/>
    <s v="Normal"/>
    <n v="157.07"/>
    <n v="65.7881"/>
    <n v="10333.34"/>
    <m/>
    <n v="0"/>
    <n v="10333.34"/>
    <s v="-NO COSTING-"/>
    <m/>
    <b v="0"/>
    <n v="65.790000000000006"/>
  </r>
  <r>
    <d v="2024-08-31T00:00:00"/>
    <m/>
    <s v="GARRY GEORGE ZISCHKE"/>
    <m/>
    <s v="N"/>
    <x v="12"/>
    <s v="Public Holiday"/>
    <n v="7.6"/>
    <n v="65.7881"/>
    <n v="499.99"/>
    <m/>
    <n v="0"/>
    <n v="499.99"/>
    <s v="-NO COSTING-"/>
    <m/>
    <b v="0"/>
    <n v="65.790000000000006"/>
  </r>
  <r>
    <d v="2024-08-31T00:00:00"/>
    <m/>
    <s v="GARRY GEORGE ZISCHKE"/>
    <m/>
    <s v="E"/>
    <x v="1"/>
    <s v="Super Guarantee 11.5%"/>
    <n v="10833.33"/>
    <n v="11.5"/>
    <m/>
    <m/>
    <n v="0"/>
    <n v="1245.83"/>
    <s v="-NO COSTING-"/>
    <m/>
    <b v="0"/>
    <n v="65.790000000000006"/>
  </r>
  <r>
    <d v="2024-08-31T00:00:00"/>
    <m/>
    <s v="GARRY GEORGE ZISCHKE"/>
    <m/>
    <s v="B"/>
    <x v="2"/>
    <s v="GG &amp; LJ ZISCHKE"/>
    <n v="8129.33"/>
    <n v="1"/>
    <m/>
    <m/>
    <n v="0"/>
    <m/>
    <s v="-NO COSTING-"/>
    <m/>
    <b v="0"/>
    <n v="65.790000000000006"/>
  </r>
  <r>
    <d v="2024-08-31T00:00:00"/>
    <m/>
    <s v="GARRY GEORGE ZISCHKE"/>
    <m/>
    <s v="T"/>
    <x v="3"/>
    <s v="Tax"/>
    <n v="10833.33"/>
    <n v="24.96"/>
    <m/>
    <m/>
    <n v="0"/>
    <n v="2704"/>
    <s v="-NO COSTING-"/>
    <m/>
    <b v="0"/>
    <n v="65.790000000000006"/>
  </r>
  <r>
    <d v="2024-08-31T00:00:00"/>
    <m/>
    <s v="GARTH JAMES IVOR CORBITT"/>
    <m/>
    <s v="N"/>
    <x v="0"/>
    <s v="Normal"/>
    <n v="157.07"/>
    <n v="165.7355"/>
    <n v="26032.080000000002"/>
    <m/>
    <n v="0"/>
    <n v="26032.080000000002"/>
    <s v="-NO COSTING-"/>
    <m/>
    <b v="0"/>
    <n v="165.74"/>
  </r>
  <r>
    <d v="2024-08-31T00:00:00"/>
    <m/>
    <s v="GARTH JAMES IVOR CORBITT"/>
    <m/>
    <s v="N"/>
    <x v="12"/>
    <s v="Public Holiday"/>
    <n v="7.6"/>
    <n v="165.7355"/>
    <n v="1259.5899999999999"/>
    <m/>
    <n v="0"/>
    <n v="1259.5899999999999"/>
    <s v="-NO COSTING-"/>
    <m/>
    <b v="0"/>
    <n v="165.74"/>
  </r>
  <r>
    <d v="2024-08-31T00:00:00"/>
    <m/>
    <s v="GARTH JAMES IVOR CORBITT"/>
    <m/>
    <s v="A"/>
    <x v="4"/>
    <s v="MV ALLOWANCE GC"/>
    <n v="1666.67"/>
    <n v="1"/>
    <m/>
    <m/>
    <n v="0"/>
    <m/>
    <s v="-NO COSTING-"/>
    <m/>
    <b v="0"/>
    <n v="165.74"/>
  </r>
  <r>
    <d v="2024-08-31T00:00:00"/>
    <m/>
    <s v="GARTH JAMES IVOR CORBITT"/>
    <m/>
    <s v="E"/>
    <x v="1"/>
    <s v="Super Guarantee 11.5%"/>
    <n v="28958.34"/>
    <n v="11.5"/>
    <m/>
    <m/>
    <n v="0"/>
    <n v="3330.21"/>
    <s v="-NO COSTING-"/>
    <m/>
    <b v="0"/>
    <n v="165.74"/>
  </r>
  <r>
    <d v="2024-08-31T00:00:00"/>
    <m/>
    <s v="GARTH JAMES IVOR CORBITT"/>
    <m/>
    <s v="B"/>
    <x v="5"/>
    <s v="JIG &amp; RG CORBITT"/>
    <n v="18168.34"/>
    <n v="1"/>
    <m/>
    <m/>
    <n v="0"/>
    <m/>
    <s v="-NO COSTING-"/>
    <m/>
    <b v="0"/>
    <n v="165.74"/>
  </r>
  <r>
    <d v="2024-08-31T00:00:00"/>
    <m/>
    <s v="GARTH JAMES IVOR CORBITT"/>
    <m/>
    <s v="T"/>
    <x v="3"/>
    <s v="Tax"/>
    <n v="28958.34"/>
    <n v="37.26"/>
    <m/>
    <m/>
    <n v="0"/>
    <n v="10789.88"/>
    <s v="-NO COSTING-"/>
    <m/>
    <b v="0"/>
    <n v="165.74"/>
  </r>
  <r>
    <d v="2024-08-31T00:00:00"/>
    <m/>
    <s v="PHILIP CANDLER"/>
    <m/>
    <s v="N"/>
    <x v="0"/>
    <s v="Normal"/>
    <n v="141.87"/>
    <n v="85.020200000000003"/>
    <n v="12061.82"/>
    <m/>
    <n v="0"/>
    <n v="12061.82"/>
    <s v="-NO COSTING-"/>
    <m/>
    <b v="0"/>
    <n v="85.02"/>
  </r>
  <r>
    <d v="2024-08-31T00:00:00"/>
    <m/>
    <s v="PHILIP CANDLER"/>
    <m/>
    <s v="N"/>
    <x v="13"/>
    <s v="Personal Leave"/>
    <n v="15.2"/>
    <n v="85.020200000000003"/>
    <n v="1292.31"/>
    <m/>
    <n v="0"/>
    <n v="1292.31"/>
    <s v="-NO COSTING-"/>
    <m/>
    <b v="0"/>
    <n v="85.02"/>
  </r>
  <r>
    <d v="2024-08-31T00:00:00"/>
    <m/>
    <s v="PHILIP CANDLER"/>
    <m/>
    <s v="N"/>
    <x v="12"/>
    <s v="Public Holiday"/>
    <n v="7.6"/>
    <n v="85.020200000000003"/>
    <n v="646.15"/>
    <m/>
    <n v="0"/>
    <n v="646.15"/>
    <s v="-NO COSTING-"/>
    <m/>
    <b v="0"/>
    <n v="85.02"/>
  </r>
  <r>
    <d v="2024-08-31T00:00:00"/>
    <m/>
    <s v="PHILIP CANDLER"/>
    <m/>
    <s v="A"/>
    <x v="8"/>
    <s v="Car Allowance"/>
    <n v="1833.33"/>
    <n v="1"/>
    <m/>
    <m/>
    <n v="0"/>
    <m/>
    <s v="-NO COSTING-"/>
    <m/>
    <b v="0"/>
    <n v="85.02"/>
  </r>
  <r>
    <d v="2024-08-31T00:00:00"/>
    <m/>
    <s v="PHILIP CANDLER"/>
    <m/>
    <s v="E"/>
    <x v="1"/>
    <s v="Super Guarantee 11.5%"/>
    <n v="14000.28"/>
    <n v="11.5"/>
    <m/>
    <m/>
    <n v="0"/>
    <n v="1610.03"/>
    <s v="-NO COSTING-"/>
    <m/>
    <b v="0"/>
    <n v="85.02"/>
  </r>
  <r>
    <d v="2024-08-31T00:00:00"/>
    <m/>
    <s v="PHILIP CANDLER"/>
    <m/>
    <s v="D"/>
    <x v="9"/>
    <s v="SALARY SACRIFICE"/>
    <n v="583.33000000000004"/>
    <n v="1"/>
    <m/>
    <m/>
    <n v="0"/>
    <n v="583.33000000000004"/>
    <s v="-NO COSTING-"/>
    <m/>
    <b v="0"/>
    <n v="85.02"/>
  </r>
  <r>
    <d v="2024-08-31T00:00:00"/>
    <m/>
    <s v="PHILIP CANDLER"/>
    <m/>
    <s v="B"/>
    <x v="10"/>
    <s v="Mr Philip Candler"/>
    <n v="1833.33"/>
    <n v="1"/>
    <m/>
    <m/>
    <n v="0"/>
    <m/>
    <s v="-NO COSTING-"/>
    <m/>
    <b v="0"/>
    <n v="85.02"/>
  </r>
  <r>
    <d v="2024-08-31T00:00:00"/>
    <m/>
    <s v="PHILIP CANDLER"/>
    <m/>
    <s v="B"/>
    <x v="11"/>
    <s v="PHILIP CANDLER"/>
    <n v="9022.9500000000007"/>
    <n v="1"/>
    <m/>
    <m/>
    <n v="0"/>
    <m/>
    <s v="-NO COSTING-"/>
    <m/>
    <b v="0"/>
    <n v="85.02"/>
  </r>
  <r>
    <d v="2024-08-31T00:00:00"/>
    <m/>
    <s v="PHILIP CANDLER"/>
    <m/>
    <s v="T"/>
    <x v="3"/>
    <s v="Tax"/>
    <n v="15250.28"/>
    <n v="28.81"/>
    <m/>
    <m/>
    <n v="0"/>
    <n v="4393.6099999999997"/>
    <s v="-NO COSTING-"/>
    <m/>
    <b v="0"/>
    <n v="85.02"/>
  </r>
  <r>
    <d v="2024-09-30T00:00:00"/>
    <m/>
    <s v="GARRY GEORGE ZISCHKE"/>
    <m/>
    <s v="N"/>
    <x v="0"/>
    <s v="Normal"/>
    <n v="164.67"/>
    <n v="65.7881"/>
    <n v="10833.33"/>
    <m/>
    <n v="0"/>
    <n v="10833.33"/>
    <s v="-NO COSTING-"/>
    <m/>
    <b v="0"/>
    <n v="65.790000000000006"/>
  </r>
  <r>
    <d v="2024-09-30T00:00:00"/>
    <m/>
    <s v="GARRY GEORGE ZISCHKE"/>
    <m/>
    <s v="E"/>
    <x v="1"/>
    <s v="Super Guarantee 11.5%"/>
    <n v="10833.33"/>
    <n v="11.5"/>
    <m/>
    <m/>
    <n v="0"/>
    <n v="1245.83"/>
    <s v="-NO COSTING-"/>
    <m/>
    <b v="0"/>
    <n v="65.790000000000006"/>
  </r>
  <r>
    <d v="2024-09-30T00:00:00"/>
    <m/>
    <s v="GARRY GEORGE ZISCHKE"/>
    <m/>
    <s v="B"/>
    <x v="2"/>
    <s v="GG &amp; LJ ZISCHKE"/>
    <n v="8129.33"/>
    <n v="1"/>
    <m/>
    <m/>
    <n v="0"/>
    <m/>
    <s v="-NO COSTING-"/>
    <m/>
    <b v="0"/>
    <n v="65.790000000000006"/>
  </r>
  <r>
    <d v="2024-09-30T00:00:00"/>
    <m/>
    <s v="GARRY GEORGE ZISCHKE"/>
    <m/>
    <s v="T"/>
    <x v="3"/>
    <s v="Tax"/>
    <n v="10833.33"/>
    <n v="24.96"/>
    <m/>
    <m/>
    <n v="0"/>
    <n v="2704"/>
    <s v="-NO COSTING-"/>
    <m/>
    <b v="0"/>
    <n v="65.790000000000006"/>
  </r>
  <r>
    <d v="2024-09-30T00:00:00"/>
    <m/>
    <s v="GARTH JAMES IVOR CORBITT"/>
    <m/>
    <s v="N"/>
    <x v="0"/>
    <s v="Normal"/>
    <n v="164.67"/>
    <n v="165.7355"/>
    <n v="27291.67"/>
    <m/>
    <n v="0"/>
    <n v="27291.67"/>
    <s v="-NO COSTING-"/>
    <m/>
    <b v="0"/>
    <n v="165.74"/>
  </r>
  <r>
    <d v="2024-09-30T00:00:00"/>
    <m/>
    <s v="GARTH JAMES IVOR CORBITT"/>
    <m/>
    <s v="A"/>
    <x v="4"/>
    <s v="MV ALLOWANCE GC"/>
    <n v="1666.67"/>
    <n v="1"/>
    <m/>
    <m/>
    <n v="0"/>
    <m/>
    <s v="-NO COSTING-"/>
    <m/>
    <b v="0"/>
    <n v="165.74"/>
  </r>
  <r>
    <d v="2024-09-30T00:00:00"/>
    <m/>
    <s v="GARTH JAMES IVOR CORBITT"/>
    <m/>
    <s v="E"/>
    <x v="1"/>
    <s v="Super Guarantee 11.5%"/>
    <n v="28958.34"/>
    <n v="11.5"/>
    <m/>
    <m/>
    <n v="0"/>
    <n v="3330.21"/>
    <s v="-NO COSTING-"/>
    <m/>
    <b v="0"/>
    <n v="165.74"/>
  </r>
  <r>
    <d v="2024-09-30T00:00:00"/>
    <m/>
    <s v="GARTH JAMES IVOR CORBITT"/>
    <m/>
    <s v="B"/>
    <x v="5"/>
    <s v="JIG &amp; RG CORBITT"/>
    <n v="18168.34"/>
    <n v="1"/>
    <m/>
    <m/>
    <n v="0"/>
    <m/>
    <s v="-NO COSTING-"/>
    <m/>
    <b v="0"/>
    <n v="165.74"/>
  </r>
  <r>
    <d v="2024-09-30T00:00:00"/>
    <m/>
    <s v="GARTH JAMES IVOR CORBITT"/>
    <m/>
    <s v="T"/>
    <x v="3"/>
    <s v="Tax"/>
    <n v="28958.34"/>
    <n v="37.26"/>
    <m/>
    <m/>
    <n v="0"/>
    <n v="10789.88"/>
    <s v="-NO COSTING-"/>
    <m/>
    <b v="0"/>
    <n v="165.74"/>
  </r>
  <r>
    <d v="2024-09-30T00:00:00"/>
    <m/>
    <s v="PHILIP CANDLER"/>
    <m/>
    <s v="N"/>
    <x v="0"/>
    <s v="Normal"/>
    <n v="164.67"/>
    <n v="85.020200000000003"/>
    <n v="14000.28"/>
    <m/>
    <n v="0"/>
    <n v="14000.28"/>
    <s v="-NO COSTING-"/>
    <m/>
    <b v="0"/>
    <n v="85.02"/>
  </r>
  <r>
    <d v="2024-09-30T00:00:00"/>
    <m/>
    <s v="PHILIP CANDLER"/>
    <m/>
    <s v="A"/>
    <x v="8"/>
    <s v="Car Allowance"/>
    <n v="1833.33"/>
    <n v="1"/>
    <m/>
    <m/>
    <n v="0"/>
    <m/>
    <s v="-NO COSTING-"/>
    <m/>
    <b v="0"/>
    <n v="85.02"/>
  </r>
  <r>
    <d v="2024-09-30T00:00:00"/>
    <m/>
    <s v="PHILIP CANDLER"/>
    <m/>
    <s v="E"/>
    <x v="1"/>
    <s v="Super Guarantee 11.5%"/>
    <n v="14000.28"/>
    <n v="11.5"/>
    <m/>
    <m/>
    <n v="0"/>
    <n v="1610.03"/>
    <s v="-NO COSTING-"/>
    <m/>
    <b v="0"/>
    <n v="85.02"/>
  </r>
  <r>
    <d v="2024-09-30T00:00:00"/>
    <m/>
    <s v="PHILIP CANDLER"/>
    <m/>
    <s v="D"/>
    <x v="9"/>
    <s v="SALARY SACRIFICE"/>
    <n v="583.33000000000004"/>
    <n v="1"/>
    <m/>
    <m/>
    <n v="0"/>
    <n v="583.33000000000004"/>
    <s v="-NO COSTING-"/>
    <m/>
    <b v="0"/>
    <n v="85.02"/>
  </r>
  <r>
    <d v="2024-09-30T00:00:00"/>
    <m/>
    <s v="PHILIP CANDLER"/>
    <m/>
    <s v="B"/>
    <x v="10"/>
    <s v="Mr Philip Candler"/>
    <n v="1833.33"/>
    <n v="1"/>
    <m/>
    <m/>
    <n v="0"/>
    <m/>
    <s v="-NO COSTING-"/>
    <m/>
    <b v="0"/>
    <n v="85.02"/>
  </r>
  <r>
    <d v="2024-09-30T00:00:00"/>
    <m/>
    <s v="PHILIP CANDLER"/>
    <m/>
    <s v="B"/>
    <x v="11"/>
    <s v="PHILIP CANDLER"/>
    <n v="9022.9500000000007"/>
    <n v="1"/>
    <m/>
    <m/>
    <n v="0"/>
    <m/>
    <s v="-NO COSTING-"/>
    <m/>
    <b v="0"/>
    <n v="85.02"/>
  </r>
  <r>
    <d v="2024-09-30T00:00:00"/>
    <m/>
    <s v="PHILIP CANDLER"/>
    <m/>
    <s v="T"/>
    <x v="3"/>
    <s v="Tax"/>
    <n v="15250.28"/>
    <n v="28.81"/>
    <m/>
    <m/>
    <n v="0"/>
    <n v="4393.6099999999997"/>
    <s v="-NO COSTING-"/>
    <m/>
    <b v="0"/>
    <n v="85.02"/>
  </r>
  <r>
    <d v="2024-10-31T00:00:00"/>
    <m/>
    <s v="GARRY GEORGE ZISCHKE"/>
    <m/>
    <s v="N"/>
    <x v="0"/>
    <s v="Normal"/>
    <n v="164.67"/>
    <n v="65.7881"/>
    <n v="10833.33"/>
    <m/>
    <n v="0"/>
    <n v="10833.33"/>
    <s v="-NO COSTING-"/>
    <m/>
    <b v="0"/>
    <n v="65.790000000000006"/>
  </r>
  <r>
    <d v="2024-10-31T00:00:00"/>
    <m/>
    <s v="GARRY GEORGE ZISCHKE"/>
    <m/>
    <s v="E"/>
    <x v="1"/>
    <s v="Super Guarantee 11.5%"/>
    <n v="10833.33"/>
    <n v="11.5"/>
    <m/>
    <m/>
    <n v="0"/>
    <n v="1245.83"/>
    <s v="-NO COSTING-"/>
    <m/>
    <b v="0"/>
    <n v="65.790000000000006"/>
  </r>
  <r>
    <d v="2024-10-31T00:00:00"/>
    <m/>
    <s v="GARRY GEORGE ZISCHKE"/>
    <m/>
    <s v="B"/>
    <x v="2"/>
    <s v="GG &amp; LJ ZISCHKE"/>
    <n v="8129.33"/>
    <n v="1"/>
    <m/>
    <m/>
    <n v="0"/>
    <m/>
    <s v="-NO COSTING-"/>
    <m/>
    <b v="0"/>
    <n v="65.790000000000006"/>
  </r>
  <r>
    <d v="2024-10-31T00:00:00"/>
    <m/>
    <s v="GARRY GEORGE ZISCHKE"/>
    <m/>
    <s v="T"/>
    <x v="3"/>
    <s v="Tax"/>
    <n v="10833.33"/>
    <n v="24.96"/>
    <m/>
    <m/>
    <n v="0"/>
    <n v="2704"/>
    <s v="-NO COSTING-"/>
    <m/>
    <b v="0"/>
    <n v="65.790000000000006"/>
  </r>
  <r>
    <d v="2024-10-31T00:00:00"/>
    <m/>
    <s v="GARTH JAMES IVOR CORBITT"/>
    <m/>
    <s v="N"/>
    <x v="0"/>
    <s v="Normal"/>
    <n v="164.67"/>
    <n v="165.7355"/>
    <n v="27291.67"/>
    <m/>
    <n v="0"/>
    <n v="27291.67"/>
    <s v="-NO COSTING-"/>
    <m/>
    <b v="0"/>
    <n v="165.74"/>
  </r>
  <r>
    <d v="2024-10-31T00:00:00"/>
    <m/>
    <s v="GARTH JAMES IVOR CORBITT"/>
    <m/>
    <s v="A"/>
    <x v="4"/>
    <s v="MV ALLOWANCE GC"/>
    <n v="1666.67"/>
    <n v="1"/>
    <m/>
    <m/>
    <n v="0"/>
    <m/>
    <s v="-NO COSTING-"/>
    <m/>
    <b v="0"/>
    <n v="165.74"/>
  </r>
  <r>
    <d v="2024-10-31T00:00:00"/>
    <m/>
    <s v="GARTH JAMES IVOR CORBITT"/>
    <m/>
    <s v="E"/>
    <x v="1"/>
    <s v="Super Guarantee 11.5%"/>
    <n v="28958.34"/>
    <n v="11.5"/>
    <m/>
    <m/>
    <n v="0"/>
    <n v="3330.21"/>
    <s v="-NO COSTING-"/>
    <m/>
    <b v="0"/>
    <n v="165.74"/>
  </r>
  <r>
    <d v="2024-10-31T00:00:00"/>
    <m/>
    <s v="GARTH JAMES IVOR CORBITT"/>
    <m/>
    <s v="B"/>
    <x v="5"/>
    <s v="JIG &amp; RG CORBITT"/>
    <n v="18168.34"/>
    <n v="1"/>
    <m/>
    <m/>
    <n v="0"/>
    <m/>
    <s v="-NO COSTING-"/>
    <m/>
    <b v="0"/>
    <n v="165.74"/>
  </r>
  <r>
    <d v="2024-10-31T00:00:00"/>
    <m/>
    <s v="GARTH JAMES IVOR CORBITT"/>
    <m/>
    <s v="T"/>
    <x v="3"/>
    <s v="Tax"/>
    <n v="28958.34"/>
    <n v="37.26"/>
    <m/>
    <m/>
    <n v="0"/>
    <n v="10789.88"/>
    <s v="-NO COSTING-"/>
    <m/>
    <b v="0"/>
    <n v="165.74"/>
  </r>
  <r>
    <d v="2024-10-31T00:00:00"/>
    <m/>
    <s v="PHILIP CANDLER"/>
    <m/>
    <s v="N"/>
    <x v="0"/>
    <s v="Normal"/>
    <n v="157.07"/>
    <n v="85.020200000000003"/>
    <n v="13354.13"/>
    <m/>
    <n v="0"/>
    <n v="13354.13"/>
    <s v="-NO COSTING-"/>
    <m/>
    <b v="0"/>
    <n v="85.02"/>
  </r>
  <r>
    <d v="2024-10-31T00:00:00"/>
    <m/>
    <s v="PHILIP CANDLER"/>
    <m/>
    <s v="A"/>
    <x v="8"/>
    <s v="Car Allowance"/>
    <n v="1833.33"/>
    <n v="1"/>
    <m/>
    <m/>
    <n v="0"/>
    <m/>
    <s v="-NO COSTING-"/>
    <m/>
    <b v="0"/>
    <n v="85.02"/>
  </r>
  <r>
    <d v="2024-10-31T00:00:00"/>
    <m/>
    <s v="PHILIP CANDLER"/>
    <m/>
    <s v="E"/>
    <x v="1"/>
    <s v="Super Guarantee 11.5%"/>
    <n v="14000.28"/>
    <n v="11.5"/>
    <m/>
    <m/>
    <n v="0"/>
    <n v="1610.03"/>
    <s v="-NO COSTING-"/>
    <m/>
    <b v="0"/>
    <n v="85.02"/>
  </r>
  <r>
    <d v="2024-10-31T00:00:00"/>
    <m/>
    <s v="PHILIP CANDLER"/>
    <m/>
    <s v="D"/>
    <x v="9"/>
    <s v="SALARY SACRIFICE"/>
    <n v="583.33000000000004"/>
    <n v="1"/>
    <m/>
    <m/>
    <n v="0"/>
    <n v="583.33000000000004"/>
    <s v="-NO COSTING-"/>
    <m/>
    <b v="0"/>
    <n v="85.02"/>
  </r>
  <r>
    <d v="2024-10-31T00:00:00"/>
    <m/>
    <s v="PHILIP CANDLER"/>
    <m/>
    <s v="N"/>
    <x v="6"/>
    <s v="20/09/24   Annual Leave"/>
    <n v="7.6"/>
    <n v="85.020200000000003"/>
    <n v="646.15"/>
    <m/>
    <n v="0"/>
    <n v="646.15"/>
    <s v="-NO COSTING-"/>
    <m/>
    <b v="0"/>
    <n v="85.02"/>
  </r>
  <r>
    <d v="2024-10-31T00:00:00"/>
    <m/>
    <s v="PHILIP CANDLER"/>
    <m/>
    <s v="A"/>
    <x v="7"/>
    <s v="Leave Loading"/>
    <n v="7.6"/>
    <n v="17.5"/>
    <m/>
    <m/>
    <n v="0"/>
    <n v="113.08"/>
    <s v="-NO COSTING-"/>
    <m/>
    <b v="0"/>
    <n v="85.02"/>
  </r>
  <r>
    <d v="2024-10-31T00:00:00"/>
    <m/>
    <s v="PHILIP CANDLER"/>
    <m/>
    <s v="B"/>
    <x v="10"/>
    <s v="Mr Philip Candler"/>
    <n v="1833.33"/>
    <n v="1"/>
    <m/>
    <m/>
    <n v="0"/>
    <m/>
    <s v="-NO COSTING-"/>
    <m/>
    <b v="0"/>
    <n v="85.02"/>
  </r>
  <r>
    <d v="2024-10-31T00:00:00"/>
    <m/>
    <s v="PHILIP CANDLER"/>
    <m/>
    <s v="B"/>
    <x v="11"/>
    <s v="PHILIP CANDLER"/>
    <n v="9088.0300000000007"/>
    <n v="1"/>
    <m/>
    <m/>
    <n v="0"/>
    <m/>
    <s v="-NO COSTING-"/>
    <m/>
    <b v="0"/>
    <n v="85.02"/>
  </r>
  <r>
    <d v="2024-10-31T00:00:00"/>
    <m/>
    <s v="PHILIP CANDLER"/>
    <m/>
    <s v="T"/>
    <x v="3"/>
    <s v="Tax"/>
    <n v="15363.36"/>
    <n v="28.91"/>
    <m/>
    <m/>
    <n v="0"/>
    <n v="4441.55"/>
    <s v="-NO COSTING-"/>
    <m/>
    <b v="0"/>
    <n v="85.02"/>
  </r>
  <r>
    <d v="2024-11-30T00:00:00"/>
    <m/>
    <s v="GARRY GEORGE ZISCHKE"/>
    <m/>
    <s v="N"/>
    <x v="0"/>
    <s v="Normal"/>
    <n v="164.67"/>
    <n v="65.7881"/>
    <n v="10833.33"/>
    <m/>
    <n v="0"/>
    <n v="10833.33"/>
    <s v="-NO COSTING-"/>
    <m/>
    <b v="0"/>
    <n v="65.790000000000006"/>
  </r>
  <r>
    <d v="2024-11-30T00:00:00"/>
    <m/>
    <s v="GARRY GEORGE ZISCHKE"/>
    <m/>
    <s v="E"/>
    <x v="1"/>
    <s v="Super Guarantee 11.5%"/>
    <n v="10833.33"/>
    <n v="11.5"/>
    <m/>
    <m/>
    <n v="0"/>
    <n v="1245.83"/>
    <s v="-NO COSTING-"/>
    <m/>
    <b v="0"/>
    <n v="65.790000000000006"/>
  </r>
  <r>
    <d v="2024-11-30T00:00:00"/>
    <m/>
    <s v="GARRY GEORGE ZISCHKE"/>
    <m/>
    <s v="B"/>
    <x v="2"/>
    <s v="GG &amp; LJ ZISCHKE"/>
    <n v="8129.33"/>
    <n v="1"/>
    <m/>
    <m/>
    <n v="0"/>
    <m/>
    <s v="-NO COSTING-"/>
    <m/>
    <b v="0"/>
    <n v="65.790000000000006"/>
  </r>
  <r>
    <d v="2024-11-30T00:00:00"/>
    <m/>
    <s v="GARRY GEORGE ZISCHKE"/>
    <m/>
    <s v="T"/>
    <x v="3"/>
    <s v="Tax"/>
    <n v="10833.33"/>
    <n v="24.96"/>
    <m/>
    <m/>
    <n v="0"/>
    <n v="2704"/>
    <s v="-NO COSTING-"/>
    <m/>
    <b v="0"/>
    <n v="65.790000000000006"/>
  </r>
  <r>
    <d v="2024-11-30T00:00:00"/>
    <m/>
    <s v="GARRY GEORGE ZISCHKE"/>
    <m/>
    <s v="N"/>
    <x v="14"/>
    <s v="Long Service LeaveTerm"/>
    <n v="414.24459999999999"/>
    <n v="65.7881"/>
    <n v="27252.37"/>
    <m/>
    <n v="0"/>
    <n v="27252.37"/>
    <s v="-NO COSTING-"/>
    <m/>
    <b v="1"/>
    <n v="65.790000000000006"/>
  </r>
  <r>
    <d v="2024-11-30T00:00:00"/>
    <m/>
    <s v="GARRY GEORGE ZISCHKE"/>
    <m/>
    <s v="N"/>
    <x v="15"/>
    <s v="Annual Leave on term"/>
    <n v="726.68470000000002"/>
    <n v="65.7881"/>
    <n v="47807.22"/>
    <m/>
    <n v="0"/>
    <n v="47807.22"/>
    <s v="-NO COSTING-"/>
    <m/>
    <b v="1"/>
    <n v="65.790000000000006"/>
  </r>
  <r>
    <d v="2024-11-30T00:00:00"/>
    <m/>
    <s v="GARRY GEORGE ZISCHKE"/>
    <m/>
    <s v="A"/>
    <x v="16"/>
    <s v="Leave Loading Term Pay"/>
    <n v="726.68470000000002"/>
    <n v="17.5"/>
    <m/>
    <m/>
    <n v="0"/>
    <m/>
    <s v="-NO COSTING-"/>
    <m/>
    <b v="1"/>
    <n v="65.790000000000006"/>
  </r>
  <r>
    <d v="2024-11-30T00:00:00"/>
    <m/>
    <s v="GARRY GEORGE ZISCHKE"/>
    <m/>
    <s v="B"/>
    <x v="2"/>
    <s v="GG &amp; LJ ZISCHKE"/>
    <n v="56730.85"/>
    <n v="1"/>
    <m/>
    <m/>
    <n v="0"/>
    <m/>
    <s v="-NO COSTING-"/>
    <m/>
    <b v="1"/>
    <n v="65.790000000000006"/>
  </r>
  <r>
    <d v="2024-11-30T00:00:00"/>
    <m/>
    <s v="GARRY GEORGE ZISCHKE"/>
    <m/>
    <s v="T"/>
    <x v="3"/>
    <s v="Tax"/>
    <n v="83425.850000000006"/>
    <n v="32"/>
    <m/>
    <m/>
    <n v="0"/>
    <n v="26696.27"/>
    <s v="-NO COSTING-"/>
    <m/>
    <b v="1"/>
    <n v="65.790000000000006"/>
  </r>
  <r>
    <d v="2024-11-30T00:00:00"/>
    <m/>
    <s v="GARTH JAMES IVOR CORBITT"/>
    <m/>
    <s v="N"/>
    <x v="0"/>
    <s v="Normal"/>
    <n v="164.67"/>
    <n v="165.7355"/>
    <n v="27291.67"/>
    <m/>
    <n v="0"/>
    <n v="27291.67"/>
    <s v="-NO COSTING-"/>
    <m/>
    <b v="0"/>
    <n v="165.74"/>
  </r>
  <r>
    <d v="2024-11-30T00:00:00"/>
    <m/>
    <s v="GARTH JAMES IVOR CORBITT"/>
    <m/>
    <s v="A"/>
    <x v="4"/>
    <s v="MV ALLOWANCE GC"/>
    <n v="1666.67"/>
    <n v="1"/>
    <m/>
    <m/>
    <n v="0"/>
    <m/>
    <s v="-NO COSTING-"/>
    <m/>
    <b v="0"/>
    <n v="165.74"/>
  </r>
  <r>
    <d v="2024-11-30T00:00:00"/>
    <m/>
    <s v="GARTH JAMES IVOR CORBITT"/>
    <m/>
    <s v="E"/>
    <x v="1"/>
    <s v="Super Guarantee 11.5%"/>
    <n v="28958.34"/>
    <n v="11.5"/>
    <m/>
    <m/>
    <n v="0"/>
    <n v="3330.21"/>
    <s v="-NO COSTING-"/>
    <m/>
    <b v="0"/>
    <n v="165.74"/>
  </r>
  <r>
    <d v="2024-11-30T00:00:00"/>
    <m/>
    <s v="GARTH JAMES IVOR CORBITT"/>
    <m/>
    <s v="B"/>
    <x v="5"/>
    <s v="JIG &amp; RG CORBITT"/>
    <n v="18168.34"/>
    <n v="1"/>
    <m/>
    <m/>
    <n v="0"/>
    <m/>
    <s v="-NO COSTING-"/>
    <m/>
    <b v="0"/>
    <n v="165.74"/>
  </r>
  <r>
    <d v="2024-11-30T00:00:00"/>
    <m/>
    <s v="GARTH JAMES IVOR CORBITT"/>
    <m/>
    <s v="T"/>
    <x v="3"/>
    <s v="Tax"/>
    <n v="28958.34"/>
    <n v="37.26"/>
    <m/>
    <m/>
    <n v="0"/>
    <n v="10789.88"/>
    <s v="-NO COSTING-"/>
    <m/>
    <b v="0"/>
    <n v="165.74"/>
  </r>
  <r>
    <d v="2024-11-30T00:00:00"/>
    <m/>
    <s v="PHILIP CANDLER"/>
    <m/>
    <s v="N"/>
    <x v="0"/>
    <s v="Normal"/>
    <n v="134.27000000000001"/>
    <n v="85.020200000000003"/>
    <n v="11415.67"/>
    <m/>
    <n v="0"/>
    <n v="11415.67"/>
    <s v="-NO COSTING-"/>
    <m/>
    <b v="0"/>
    <n v="85.02"/>
  </r>
  <r>
    <d v="2024-11-30T00:00:00"/>
    <m/>
    <s v="PHILIP CANDLER"/>
    <m/>
    <s v="N"/>
    <x v="6"/>
    <s v="Annual Leave"/>
    <n v="30.4"/>
    <n v="85.020200000000003"/>
    <n v="2584.61"/>
    <m/>
    <n v="0"/>
    <n v="2584.61"/>
    <s v="-NO COSTING-"/>
    <m/>
    <b v="0"/>
    <n v="85.02"/>
  </r>
  <r>
    <d v="2024-11-30T00:00:00"/>
    <m/>
    <s v="PHILIP CANDLER"/>
    <m/>
    <s v="A"/>
    <x v="7"/>
    <s v="Leave Loading"/>
    <n v="30.4"/>
    <n v="17.5"/>
    <m/>
    <m/>
    <n v="0"/>
    <n v="452.31"/>
    <s v="-NO COSTING-"/>
    <m/>
    <b v="0"/>
    <n v="85.02"/>
  </r>
  <r>
    <d v="2024-11-30T00:00:00"/>
    <m/>
    <s v="PHILIP CANDLER"/>
    <m/>
    <s v="A"/>
    <x v="8"/>
    <s v="Car Allowance"/>
    <n v="1833.33"/>
    <n v="1"/>
    <m/>
    <m/>
    <n v="0"/>
    <m/>
    <s v="-NO COSTING-"/>
    <m/>
    <b v="0"/>
    <n v="85.02"/>
  </r>
  <r>
    <d v="2024-11-30T00:00:00"/>
    <m/>
    <s v="PHILIP CANDLER"/>
    <m/>
    <s v="E"/>
    <x v="1"/>
    <s v="Super Guarantee 11.5%"/>
    <n v="14000.28"/>
    <n v="11.5"/>
    <m/>
    <m/>
    <n v="0"/>
    <n v="1610.03"/>
    <s v="-NO COSTING-"/>
    <m/>
    <b v="0"/>
    <n v="85.02"/>
  </r>
  <r>
    <d v="2024-11-30T00:00:00"/>
    <m/>
    <s v="PHILIP CANDLER"/>
    <m/>
    <s v="D"/>
    <x v="9"/>
    <s v="SALARY SACRIFICE"/>
    <n v="583.33000000000004"/>
    <n v="1"/>
    <m/>
    <m/>
    <n v="0"/>
    <n v="583.33000000000004"/>
    <s v="-NO COSTING-"/>
    <m/>
    <b v="0"/>
    <n v="85.02"/>
  </r>
  <r>
    <d v="2024-11-30T00:00:00"/>
    <m/>
    <s v="PHILIP CANDLER"/>
    <m/>
    <s v="B"/>
    <x v="10"/>
    <s v="Mr Philip Candler"/>
    <n v="1833.33"/>
    <n v="1"/>
    <m/>
    <m/>
    <n v="0"/>
    <m/>
    <s v="-NO COSTING-"/>
    <m/>
    <b v="0"/>
    <n v="85.02"/>
  </r>
  <r>
    <d v="2024-11-30T00:00:00"/>
    <m/>
    <s v="PHILIP CANDLER"/>
    <m/>
    <s v="B"/>
    <x v="11"/>
    <s v="PHILIP CANDLER"/>
    <n v="9297.26"/>
    <n v="1"/>
    <m/>
    <m/>
    <n v="0"/>
    <m/>
    <s v="-NO COSTING-"/>
    <m/>
    <b v="0"/>
    <n v="85.02"/>
  </r>
  <r>
    <d v="2024-11-30T00:00:00"/>
    <m/>
    <s v="PHILIP CANDLER"/>
    <m/>
    <s v="T"/>
    <x v="3"/>
    <s v="Tax"/>
    <n v="15702.59"/>
    <n v="29.12"/>
    <m/>
    <m/>
    <n v="0"/>
    <n v="4572.59"/>
    <s v="-NO COSTING-"/>
    <m/>
    <b v="0"/>
    <n v="85.02"/>
  </r>
  <r>
    <d v="2024-12-31T00:00:00"/>
    <m/>
    <s v="GARTH JAMES IVOR CORBITT"/>
    <m/>
    <s v="N"/>
    <x v="0"/>
    <s v="Normal"/>
    <n v="149.47"/>
    <n v="165.7355"/>
    <n v="24772.49"/>
    <m/>
    <n v="0"/>
    <n v="24772.49"/>
    <s v="-NO COSTING-"/>
    <m/>
    <b v="0"/>
    <n v="165.74"/>
  </r>
  <r>
    <d v="2024-12-31T00:00:00"/>
    <m/>
    <s v="GARTH JAMES IVOR CORBITT"/>
    <m/>
    <s v="N"/>
    <x v="12"/>
    <s v="Public Holiday"/>
    <n v="15.2"/>
    <n v="165.7355"/>
    <n v="2519.1799999999998"/>
    <m/>
    <n v="0"/>
    <n v="2519.1799999999998"/>
    <s v="-NO COSTING-"/>
    <m/>
    <b v="0"/>
    <n v="165.74"/>
  </r>
  <r>
    <d v="2024-12-31T00:00:00"/>
    <m/>
    <s v="GARTH JAMES IVOR CORBITT"/>
    <m/>
    <s v="A"/>
    <x v="4"/>
    <s v="MV ALLOWANCE GC"/>
    <n v="1666.67"/>
    <n v="1"/>
    <m/>
    <m/>
    <n v="0"/>
    <m/>
    <s v="-NO COSTING-"/>
    <m/>
    <b v="0"/>
    <n v="165.74"/>
  </r>
  <r>
    <d v="2024-12-31T00:00:00"/>
    <m/>
    <s v="GARTH JAMES IVOR CORBITT"/>
    <m/>
    <s v="E"/>
    <x v="1"/>
    <s v="Super Guarantee 11.5%"/>
    <n v="28958.34"/>
    <n v="11.5"/>
    <m/>
    <m/>
    <n v="0"/>
    <n v="3330.21"/>
    <s v="-NO COSTING-"/>
    <m/>
    <b v="0"/>
    <n v="165.74"/>
  </r>
  <r>
    <d v="2024-12-31T00:00:00"/>
    <m/>
    <s v="GARTH JAMES IVOR CORBITT"/>
    <m/>
    <s v="B"/>
    <x v="5"/>
    <s v="JIG &amp; RG CORBITT"/>
    <n v="18168.34"/>
    <n v="1"/>
    <m/>
    <m/>
    <n v="0"/>
    <m/>
    <s v="-NO COSTING-"/>
    <m/>
    <b v="0"/>
    <n v="165.74"/>
  </r>
  <r>
    <d v="2024-12-31T00:00:00"/>
    <m/>
    <s v="GARTH JAMES IVOR CORBITT"/>
    <m/>
    <s v="T"/>
    <x v="3"/>
    <s v="Tax"/>
    <n v="28958.34"/>
    <n v="37.26"/>
    <m/>
    <m/>
    <n v="0"/>
    <n v="10789.88"/>
    <s v="-NO COSTING-"/>
    <m/>
    <b v="0"/>
    <n v="165.74"/>
  </r>
  <r>
    <d v="2024-12-31T00:00:00"/>
    <m/>
    <s v="PHILIP CANDLER"/>
    <m/>
    <s v="N"/>
    <x v="0"/>
    <s v="Normal"/>
    <n v="111.47"/>
    <n v="85.020200000000003"/>
    <n v="9477.2099999999991"/>
    <m/>
    <n v="0"/>
    <n v="9477.2099999999991"/>
    <s v="-NO COSTING-"/>
    <m/>
    <b v="0"/>
    <n v="85.02"/>
  </r>
  <r>
    <d v="2024-12-31T00:00:00"/>
    <m/>
    <s v="PHILIP CANDLER"/>
    <m/>
    <s v="N"/>
    <x v="6"/>
    <s v="Annual Leave"/>
    <n v="38"/>
    <n v="85.020200000000003"/>
    <n v="3230.77"/>
    <m/>
    <n v="0"/>
    <n v="3230.77"/>
    <s v="-NO COSTING-"/>
    <m/>
    <b v="0"/>
    <n v="85.02"/>
  </r>
  <r>
    <d v="2024-12-31T00:00:00"/>
    <m/>
    <s v="PHILIP CANDLER"/>
    <m/>
    <s v="A"/>
    <x v="7"/>
    <s v="Leave Loading"/>
    <n v="38"/>
    <n v="17.5"/>
    <m/>
    <m/>
    <n v="0"/>
    <n v="565.38"/>
    <s v="-NO COSTING-"/>
    <m/>
    <b v="0"/>
    <n v="85.02"/>
  </r>
  <r>
    <d v="2024-12-31T00:00:00"/>
    <m/>
    <s v="PHILIP CANDLER"/>
    <m/>
    <s v="N"/>
    <x v="12"/>
    <s v="Public Holiday"/>
    <n v="15.2"/>
    <n v="85.020200000000003"/>
    <n v="1292.31"/>
    <m/>
    <n v="0"/>
    <n v="1292.31"/>
    <s v="-NO COSTING-"/>
    <m/>
    <b v="0"/>
    <n v="85.02"/>
  </r>
  <r>
    <d v="2024-12-31T00:00:00"/>
    <m/>
    <s v="PHILIP CANDLER"/>
    <m/>
    <s v="A"/>
    <x v="8"/>
    <s v="Car Allowance"/>
    <n v="1833.33"/>
    <n v="1"/>
    <m/>
    <m/>
    <n v="0"/>
    <m/>
    <s v="-NO COSTING-"/>
    <m/>
    <b v="0"/>
    <n v="85.02"/>
  </r>
  <r>
    <d v="2024-12-31T00:00:00"/>
    <m/>
    <s v="PHILIP CANDLER"/>
    <m/>
    <s v="E"/>
    <x v="1"/>
    <s v="Super Guarantee 11.5%"/>
    <n v="14000.29"/>
    <n v="11.5"/>
    <m/>
    <m/>
    <n v="0"/>
    <n v="1610.03"/>
    <s v="-NO COSTING-"/>
    <m/>
    <b v="0"/>
    <n v="85.02"/>
  </r>
  <r>
    <d v="2024-12-31T00:00:00"/>
    <m/>
    <s v="PHILIP CANDLER"/>
    <m/>
    <s v="D"/>
    <x v="9"/>
    <s v="SALARY SACRIFICE"/>
    <n v="583.33000000000004"/>
    <n v="1"/>
    <m/>
    <m/>
    <n v="0"/>
    <n v="583.33000000000004"/>
    <s v="-NO COSTING-"/>
    <m/>
    <b v="0"/>
    <n v="85.02"/>
  </r>
  <r>
    <d v="2024-12-31T00:00:00"/>
    <m/>
    <s v="PHILIP CANDLER"/>
    <m/>
    <s v="B"/>
    <x v="10"/>
    <s v="Mr Philip Candler"/>
    <n v="1833.33"/>
    <n v="1"/>
    <m/>
    <m/>
    <n v="0"/>
    <m/>
    <s v="-NO COSTING-"/>
    <m/>
    <b v="0"/>
    <n v="85.02"/>
  </r>
  <r>
    <d v="2024-12-31T00:00:00"/>
    <m/>
    <s v="PHILIP CANDLER"/>
    <m/>
    <s v="B"/>
    <x v="11"/>
    <s v="PHILIP CANDLER"/>
    <n v="9367.34"/>
    <n v="1"/>
    <m/>
    <m/>
    <n v="0"/>
    <m/>
    <s v="-NO COSTING-"/>
    <m/>
    <b v="0"/>
    <n v="85.02"/>
  </r>
  <r>
    <d v="2024-12-31T00:00:00"/>
    <m/>
    <s v="PHILIP CANDLER"/>
    <m/>
    <s v="T"/>
    <x v="3"/>
    <s v="Tax"/>
    <n v="15815.67"/>
    <n v="29.18"/>
    <m/>
    <m/>
    <n v="0"/>
    <n v="4615.01"/>
    <s v="-NO COSTING-"/>
    <m/>
    <b v="0"/>
    <n v="85.02"/>
  </r>
  <r>
    <d v="2025-01-31T00:00:00"/>
    <m/>
    <s v="GARTH JAMES IVOR CORBITT"/>
    <m/>
    <s v="N"/>
    <x v="0"/>
    <s v="Normal"/>
    <n v="149.47"/>
    <n v="165.7355"/>
    <n v="24772.49"/>
    <m/>
    <n v="0"/>
    <n v="24772.49"/>
    <s v="-NO COSTING-"/>
    <m/>
    <b v="0"/>
    <n v="165.74"/>
  </r>
  <r>
    <d v="2025-01-31T00:00:00"/>
    <m/>
    <s v="GARTH JAMES IVOR CORBITT"/>
    <m/>
    <s v="N"/>
    <x v="12"/>
    <s v="Public Holiday"/>
    <n v="15.2"/>
    <n v="165.7355"/>
    <n v="2519.1799999999998"/>
    <m/>
    <n v="0"/>
    <n v="2519.1799999999998"/>
    <s v="-NO COSTING-"/>
    <m/>
    <b v="0"/>
    <n v="165.74"/>
  </r>
  <r>
    <d v="2025-01-31T00:00:00"/>
    <m/>
    <s v="GARTH JAMES IVOR CORBITT"/>
    <m/>
    <s v="A"/>
    <x v="17"/>
    <s v="BONUS"/>
    <n v="53811.66"/>
    <n v="1"/>
    <m/>
    <m/>
    <n v="0"/>
    <n v="53811.66"/>
    <s v="-NO COSTING-"/>
    <m/>
    <b v="0"/>
    <n v="165.74"/>
  </r>
  <r>
    <d v="2025-01-31T00:00:00"/>
    <m/>
    <s v="GARTH JAMES IVOR CORBITT"/>
    <m/>
    <s v="A"/>
    <x v="4"/>
    <s v="MV ALLOWANCE GC"/>
    <n v="1666.67"/>
    <n v="1"/>
    <m/>
    <m/>
    <n v="0"/>
    <m/>
    <s v="-NO COSTING-"/>
    <m/>
    <b v="0"/>
    <n v="165.74"/>
  </r>
  <r>
    <d v="2025-01-31T00:00:00"/>
    <m/>
    <s v="GARTH JAMES IVOR CORBITT"/>
    <m/>
    <s v="E"/>
    <x v="1"/>
    <s v="Super Guarantee 11.5%"/>
    <n v="82770"/>
    <n v="11.5"/>
    <m/>
    <m/>
    <n v="0"/>
    <n v="9518.5499999999993"/>
    <s v="-NO COSTING-"/>
    <m/>
    <b v="0"/>
    <n v="165.74"/>
  </r>
  <r>
    <d v="2025-01-31T00:00:00"/>
    <m/>
    <s v="GARTH JAMES IVOR CORBITT"/>
    <m/>
    <s v="B"/>
    <x v="5"/>
    <s v="JIG &amp; RG CORBITT"/>
    <n v="50329"/>
    <n v="1"/>
    <m/>
    <m/>
    <n v="0"/>
    <m/>
    <s v="-NO COSTING-"/>
    <m/>
    <b v="0"/>
    <n v="165.74"/>
  </r>
  <r>
    <d v="2025-01-31T00:00:00"/>
    <m/>
    <s v="GARTH JAMES IVOR CORBITT"/>
    <m/>
    <s v="T"/>
    <x v="3"/>
    <s v="Tax"/>
    <n v="82770"/>
    <n v="39.19"/>
    <m/>
    <m/>
    <n v="0"/>
    <n v="32437.56"/>
    <s v="-NO COSTING-"/>
    <m/>
    <b v="0"/>
    <n v="165.74"/>
  </r>
  <r>
    <d v="2025-01-31T00:00:00"/>
    <m/>
    <s v="PHILIP CANDLER"/>
    <m/>
    <s v="N"/>
    <x v="0"/>
    <s v="Normal"/>
    <n v="96.27"/>
    <n v="85.020200000000003"/>
    <n v="8184.9"/>
    <m/>
    <n v="0"/>
    <n v="8184.9"/>
    <s v="-NO COSTING-"/>
    <m/>
    <b v="0"/>
    <n v="85.02"/>
  </r>
  <r>
    <d v="2025-01-31T00:00:00"/>
    <m/>
    <s v="PHILIP CANDLER"/>
    <m/>
    <s v="N"/>
    <x v="6"/>
    <s v="Annual Leave"/>
    <n v="53.2"/>
    <n v="85.020200000000003"/>
    <n v="4523.08"/>
    <m/>
    <n v="0"/>
    <n v="4523.08"/>
    <s v="-NO COSTING-"/>
    <m/>
    <b v="0"/>
    <n v="85.02"/>
  </r>
  <r>
    <d v="2025-01-31T00:00:00"/>
    <m/>
    <s v="PHILIP CANDLER"/>
    <m/>
    <s v="A"/>
    <x v="7"/>
    <s v="Leave Loading"/>
    <n v="53.2"/>
    <n v="17.5"/>
    <m/>
    <m/>
    <n v="0"/>
    <n v="791.54"/>
    <s v="-NO COSTING-"/>
    <m/>
    <b v="0"/>
    <n v="85.02"/>
  </r>
  <r>
    <d v="2025-01-31T00:00:00"/>
    <m/>
    <s v="PHILIP CANDLER"/>
    <m/>
    <s v="N"/>
    <x v="12"/>
    <s v="Public Holiday"/>
    <n v="15.2"/>
    <n v="85.020200000000003"/>
    <n v="1292.31"/>
    <m/>
    <n v="0"/>
    <n v="1292.31"/>
    <s v="-NO COSTING-"/>
    <m/>
    <b v="0"/>
    <n v="85.02"/>
  </r>
  <r>
    <d v="2025-01-31T00:00:00"/>
    <m/>
    <s v="PHILIP CANDLER"/>
    <m/>
    <s v="A"/>
    <x v="17"/>
    <s v="BONUS"/>
    <n v="26905.83"/>
    <n v="1"/>
    <m/>
    <m/>
    <n v="0"/>
    <n v="26905.83"/>
    <s v="-NO COSTING-"/>
    <m/>
    <b v="0"/>
    <n v="85.02"/>
  </r>
  <r>
    <d v="2025-01-31T00:00:00"/>
    <m/>
    <s v="PHILIP CANDLER"/>
    <m/>
    <s v="A"/>
    <x v="8"/>
    <s v="Car Allowance"/>
    <n v="1833.33"/>
    <n v="1"/>
    <m/>
    <m/>
    <n v="0"/>
    <m/>
    <s v="-NO COSTING-"/>
    <m/>
    <b v="0"/>
    <n v="85.02"/>
  </r>
  <r>
    <d v="2025-01-31T00:00:00"/>
    <m/>
    <s v="PHILIP CANDLER"/>
    <m/>
    <s v="E"/>
    <x v="1"/>
    <s v="Super Guarantee 11.5%"/>
    <n v="40906.120000000003"/>
    <n v="11.5"/>
    <m/>
    <m/>
    <n v="0"/>
    <n v="4704.2"/>
    <s v="-NO COSTING-"/>
    <m/>
    <b v="0"/>
    <n v="85.02"/>
  </r>
  <r>
    <d v="2025-01-31T00:00:00"/>
    <m/>
    <s v="PHILIP CANDLER"/>
    <m/>
    <s v="D"/>
    <x v="9"/>
    <s v="SALARY SACRIFICE"/>
    <n v="583.33000000000004"/>
    <n v="1"/>
    <m/>
    <m/>
    <n v="0"/>
    <n v="583.33000000000004"/>
    <s v="-NO COSTING-"/>
    <m/>
    <b v="0"/>
    <n v="85.02"/>
  </r>
  <r>
    <d v="2025-01-31T00:00:00"/>
    <m/>
    <s v="PHILIP CANDLER"/>
    <m/>
    <s v="B"/>
    <x v="10"/>
    <s v="Mr Philip Candler"/>
    <n v="1833.33"/>
    <n v="1"/>
    <m/>
    <m/>
    <n v="0"/>
    <m/>
    <s v="-NO COSTING-"/>
    <m/>
    <b v="0"/>
    <n v="85.02"/>
  </r>
  <r>
    <d v="2025-01-31T00:00:00"/>
    <m/>
    <s v="PHILIP CANDLER"/>
    <m/>
    <s v="B"/>
    <x v="11"/>
    <s v="PHILIP CANDLER"/>
    <n v="28963.33"/>
    <n v="1"/>
    <m/>
    <m/>
    <n v="0"/>
    <m/>
    <s v="-NO COSTING-"/>
    <m/>
    <b v="0"/>
    <n v="85.02"/>
  </r>
  <r>
    <d v="2025-01-31T00:00:00"/>
    <m/>
    <s v="PHILIP CANDLER"/>
    <m/>
    <s v="T"/>
    <x v="3"/>
    <s v="Tax"/>
    <n v="42947.66"/>
    <n v="28.29"/>
    <m/>
    <m/>
    <n v="0"/>
    <n v="12149.89"/>
    <s v="-NO COSTING-"/>
    <m/>
    <b v="0"/>
    <n v="85.02"/>
  </r>
  <r>
    <d v="2025-02-28T00:00:00"/>
    <m/>
    <s v="GARTH JAMES IVOR CORBITT"/>
    <m/>
    <s v="N"/>
    <x v="0"/>
    <s v="Normal"/>
    <n v="50.67"/>
    <n v="165.7355"/>
    <n v="8397.82"/>
    <m/>
    <n v="0"/>
    <n v="8397.82"/>
    <s v="-NO COSTING-"/>
    <m/>
    <b v="0"/>
    <n v="165.74"/>
  </r>
  <r>
    <d v="2025-02-28T00:00:00"/>
    <m/>
    <s v="GARTH JAMES IVOR CORBITT"/>
    <m/>
    <s v="N"/>
    <x v="6"/>
    <s v="Annual Leave"/>
    <n v="114"/>
    <n v="165.7355"/>
    <n v="18893.849999999999"/>
    <m/>
    <n v="0"/>
    <n v="18893.849999999999"/>
    <s v="-NO COSTING-"/>
    <m/>
    <b v="0"/>
    <n v="165.74"/>
  </r>
  <r>
    <d v="2025-02-28T00:00:00"/>
    <m/>
    <s v="GARTH JAMES IVOR CORBITT"/>
    <m/>
    <s v="A"/>
    <x v="7"/>
    <s v="Leave Loading"/>
    <n v="114"/>
    <n v="17.5"/>
    <m/>
    <m/>
    <n v="0"/>
    <n v="3306.51"/>
    <s v="-NO COSTING-"/>
    <m/>
    <b v="0"/>
    <n v="165.74"/>
  </r>
  <r>
    <d v="2025-02-28T00:00:00"/>
    <m/>
    <s v="GARTH JAMES IVOR CORBITT"/>
    <m/>
    <s v="A"/>
    <x v="4"/>
    <s v="MV ALLOWANCE GC"/>
    <n v="1666.67"/>
    <n v="1"/>
    <m/>
    <m/>
    <n v="0"/>
    <m/>
    <s v="-NO COSTING-"/>
    <m/>
    <b v="0"/>
    <n v="165.74"/>
  </r>
  <r>
    <d v="2025-02-28T00:00:00"/>
    <m/>
    <s v="GARTH JAMES IVOR CORBITT"/>
    <m/>
    <s v="E"/>
    <x v="1"/>
    <s v="Super Guarantee 11.5%"/>
    <n v="28958.34"/>
    <n v="11.5"/>
    <m/>
    <m/>
    <n v="0"/>
    <n v="3330.21"/>
    <s v="-NO COSTING-"/>
    <m/>
    <b v="0"/>
    <n v="165.74"/>
  </r>
  <r>
    <d v="2025-02-28T00:00:00"/>
    <m/>
    <s v="GARTH JAMES IVOR CORBITT"/>
    <m/>
    <s v="B"/>
    <x v="5"/>
    <s v="JIG &amp; RG CORBITT"/>
    <n v="19918.759999999998"/>
    <n v="1"/>
    <m/>
    <m/>
    <n v="0"/>
    <m/>
    <s v="-NO COSTING-"/>
    <m/>
    <b v="0"/>
    <n v="165.74"/>
  </r>
  <r>
    <d v="2025-02-28T00:00:00"/>
    <m/>
    <s v="GARTH JAMES IVOR CORBITT"/>
    <m/>
    <s v="T"/>
    <x v="3"/>
    <s v="Tax"/>
    <n v="32264.76"/>
    <n v="38.26"/>
    <m/>
    <m/>
    <n v="0"/>
    <n v="12344.5"/>
    <s v="-NO COSTING-"/>
    <m/>
    <b v="0"/>
    <n v="165.74"/>
  </r>
  <r>
    <d v="2025-02-28T00:00:00"/>
    <m/>
    <s v="PHILIP CANDLER"/>
    <m/>
    <s v="N"/>
    <x v="0"/>
    <s v="Normal"/>
    <n v="126.67"/>
    <n v="85.020200000000003"/>
    <n v="10769.51"/>
    <m/>
    <n v="0"/>
    <n v="10769.51"/>
    <s v="-NO COSTING-"/>
    <m/>
    <b v="0"/>
    <n v="85.02"/>
  </r>
  <r>
    <d v="2025-02-28T00:00:00"/>
    <m/>
    <s v="PHILIP CANDLER"/>
    <m/>
    <s v="N"/>
    <x v="6"/>
    <s v="Annual Leave"/>
    <n v="38"/>
    <n v="85.020200000000003"/>
    <n v="3230.77"/>
    <m/>
    <n v="0"/>
    <n v="3230.77"/>
    <s v="-NO COSTING-"/>
    <m/>
    <b v="0"/>
    <n v="85.02"/>
  </r>
  <r>
    <d v="2025-02-28T00:00:00"/>
    <m/>
    <s v="PHILIP CANDLER"/>
    <m/>
    <s v="A"/>
    <x v="7"/>
    <s v="Leave Loading"/>
    <n v="38"/>
    <n v="17.5"/>
    <m/>
    <m/>
    <n v="0"/>
    <n v="565.38"/>
    <s v="-NO COSTING-"/>
    <m/>
    <b v="0"/>
    <n v="85.02"/>
  </r>
  <r>
    <d v="2025-02-28T00:00:00"/>
    <m/>
    <s v="PHILIP CANDLER"/>
    <m/>
    <s v="A"/>
    <x v="8"/>
    <s v="Car Allowance"/>
    <n v="1833.33"/>
    <n v="1"/>
    <m/>
    <m/>
    <n v="0"/>
    <m/>
    <s v="-NO COSTING-"/>
    <m/>
    <b v="0"/>
    <n v="85.02"/>
  </r>
  <r>
    <d v="2025-02-28T00:00:00"/>
    <m/>
    <s v="PHILIP CANDLER"/>
    <m/>
    <s v="E"/>
    <x v="1"/>
    <s v="Super Guarantee 11.5%"/>
    <n v="14000.28"/>
    <n v="11.5"/>
    <m/>
    <m/>
    <n v="0"/>
    <n v="1610.03"/>
    <s v="-NO COSTING-"/>
    <m/>
    <b v="0"/>
    <n v="85.02"/>
  </r>
  <r>
    <d v="2025-02-28T00:00:00"/>
    <m/>
    <s v="PHILIP CANDLER"/>
    <m/>
    <s v="D"/>
    <x v="9"/>
    <s v="SALARY SACRIFICE"/>
    <n v="583.33000000000004"/>
    <n v="1"/>
    <m/>
    <m/>
    <n v="0"/>
    <n v="583.33000000000004"/>
    <s v="-NO COSTING-"/>
    <m/>
    <b v="0"/>
    <n v="85.02"/>
  </r>
  <r>
    <d v="2025-02-28T00:00:00"/>
    <m/>
    <s v="PHILIP CANDLER"/>
    <m/>
    <s v="B"/>
    <x v="10"/>
    <s v="Mr Philip Candler"/>
    <n v="1833.33"/>
    <n v="1"/>
    <m/>
    <m/>
    <n v="0"/>
    <m/>
    <s v="-NO COSTING-"/>
    <m/>
    <b v="0"/>
    <n v="85.02"/>
  </r>
  <r>
    <d v="2025-02-28T00:00:00"/>
    <m/>
    <s v="PHILIP CANDLER"/>
    <m/>
    <s v="B"/>
    <x v="11"/>
    <s v="PHILIP CANDLER"/>
    <n v="9367.33"/>
    <n v="1"/>
    <m/>
    <m/>
    <n v="0"/>
    <m/>
    <s v="-NO COSTING-"/>
    <m/>
    <b v="0"/>
    <n v="85.02"/>
  </r>
  <r>
    <d v="2025-02-28T00:00:00"/>
    <m/>
    <s v="PHILIP CANDLER"/>
    <m/>
    <s v="T"/>
    <x v="3"/>
    <s v="Tax"/>
    <n v="15815.66"/>
    <n v="29.18"/>
    <m/>
    <m/>
    <n v="0"/>
    <n v="4615.01"/>
    <s v="-NO COSTING-"/>
    <m/>
    <b v="0"/>
    <n v="85.02"/>
  </r>
  <r>
    <d v="2025-03-31T00:00:00"/>
    <m/>
    <s v="GARTH JAMES IVOR CORBITT"/>
    <m/>
    <s v="N"/>
    <x v="0"/>
    <s v="Normal"/>
    <n v="141.87"/>
    <n v="165.7355"/>
    <n v="23512.9"/>
    <m/>
    <n v="0"/>
    <n v="23512.9"/>
    <s v="-NO COSTING-"/>
    <m/>
    <b v="0"/>
    <n v="165.74"/>
  </r>
  <r>
    <d v="2025-03-31T00:00:00"/>
    <m/>
    <s v="GARTH JAMES IVOR CORBITT"/>
    <m/>
    <s v="N"/>
    <x v="13"/>
    <s v="Personal Leave"/>
    <n v="22.8"/>
    <n v="165.7355"/>
    <n v="3778.77"/>
    <m/>
    <n v="0"/>
    <n v="3778.77"/>
    <s v="-NO COSTING-"/>
    <m/>
    <b v="0"/>
    <n v="165.74"/>
  </r>
  <r>
    <d v="2025-03-31T00:00:00"/>
    <m/>
    <s v="GARTH JAMES IVOR CORBITT"/>
    <m/>
    <s v="A"/>
    <x v="4"/>
    <s v="MV ALLOWANCE GC"/>
    <n v="1666.67"/>
    <n v="1"/>
    <m/>
    <m/>
    <n v="0"/>
    <m/>
    <s v="-NO COSTING-"/>
    <m/>
    <b v="0"/>
    <n v="165.74"/>
  </r>
  <r>
    <d v="2025-03-31T00:00:00"/>
    <m/>
    <s v="GARTH JAMES IVOR CORBITT"/>
    <m/>
    <s v="E"/>
    <x v="1"/>
    <s v="Super Guarantee 11.5%"/>
    <n v="28958.34"/>
    <n v="11.5"/>
    <m/>
    <m/>
    <n v="0"/>
    <n v="3330.21"/>
    <s v="-NO COSTING-"/>
    <m/>
    <b v="0"/>
    <n v="165.74"/>
  </r>
  <r>
    <d v="2025-03-31T00:00:00"/>
    <m/>
    <s v="GARTH JAMES IVOR CORBITT"/>
    <m/>
    <s v="B"/>
    <x v="5"/>
    <s v="JIG &amp; RG CORBITT"/>
    <n v="18168.34"/>
    <n v="1"/>
    <m/>
    <m/>
    <n v="0"/>
    <m/>
    <s v="-NO COSTING-"/>
    <m/>
    <b v="0"/>
    <n v="165.74"/>
  </r>
  <r>
    <d v="2025-03-31T00:00:00"/>
    <m/>
    <s v="GARTH JAMES IVOR CORBITT"/>
    <m/>
    <s v="T"/>
    <x v="3"/>
    <s v="Tax"/>
    <n v="28958.34"/>
    <n v="37.26"/>
    <m/>
    <m/>
    <n v="0"/>
    <n v="10789.88"/>
    <s v="-NO COSTING-"/>
    <m/>
    <b v="0"/>
    <n v="165.74"/>
  </r>
  <r>
    <d v="2025-03-31T00:00:00"/>
    <m/>
    <s v="PHILIP CANDLER"/>
    <m/>
    <s v="N"/>
    <x v="0"/>
    <s v="Normal"/>
    <n v="164.67"/>
    <n v="85.020200000000003"/>
    <n v="14000.28"/>
    <m/>
    <n v="0"/>
    <n v="14000.28"/>
    <s v="-NO COSTING-"/>
    <m/>
    <b v="0"/>
    <n v="85.02"/>
  </r>
  <r>
    <d v="2025-03-31T00:00:00"/>
    <m/>
    <s v="PHILIP CANDLER"/>
    <m/>
    <s v="A"/>
    <x v="8"/>
    <s v="Car Allowance"/>
    <n v="1833.33"/>
    <n v="1"/>
    <m/>
    <m/>
    <n v="0"/>
    <m/>
    <s v="-NO COSTING-"/>
    <m/>
    <b v="0"/>
    <n v="85.02"/>
  </r>
  <r>
    <d v="2025-03-31T00:00:00"/>
    <m/>
    <s v="PHILIP CANDLER"/>
    <m/>
    <s v="E"/>
    <x v="1"/>
    <s v="Super Guarantee 11.5%"/>
    <n v="14000.28"/>
    <n v="11.5"/>
    <m/>
    <m/>
    <n v="0"/>
    <n v="1610.03"/>
    <s v="-NO COSTING-"/>
    <m/>
    <b v="0"/>
    <n v="85.02"/>
  </r>
  <r>
    <d v="2025-03-31T00:00:00"/>
    <m/>
    <s v="PHILIP CANDLER"/>
    <m/>
    <s v="D"/>
    <x v="9"/>
    <s v="SALARY SACRIFICE"/>
    <n v="583.33000000000004"/>
    <n v="1"/>
    <m/>
    <m/>
    <n v="0"/>
    <n v="583.33000000000004"/>
    <s v="-NO COSTING-"/>
    <m/>
    <b v="0"/>
    <n v="85.02"/>
  </r>
  <r>
    <d v="2025-03-31T00:00:00"/>
    <m/>
    <s v="PHILIP CANDLER"/>
    <m/>
    <s v="B"/>
    <x v="10"/>
    <s v="Mr Philip Candler"/>
    <n v="1833.33"/>
    <n v="1"/>
    <m/>
    <m/>
    <n v="0"/>
    <m/>
    <s v="-NO COSTING-"/>
    <m/>
    <b v="0"/>
    <n v="85.02"/>
  </r>
  <r>
    <d v="2025-03-31T00:00:00"/>
    <m/>
    <s v="PHILIP CANDLER"/>
    <m/>
    <s v="B"/>
    <x v="11"/>
    <s v="PHILIP CANDLER"/>
    <n v="9022.9500000000007"/>
    <n v="1"/>
    <m/>
    <m/>
    <n v="0"/>
    <m/>
    <s v="-NO COSTING-"/>
    <m/>
    <b v="0"/>
    <n v="85.02"/>
  </r>
  <r>
    <d v="2025-03-31T00:00:00"/>
    <m/>
    <s v="PHILIP CANDLER"/>
    <m/>
    <s v="T"/>
    <x v="3"/>
    <s v="Tax"/>
    <n v="15250.28"/>
    <n v="28.81"/>
    <m/>
    <m/>
    <n v="0"/>
    <n v="4393.6099999999997"/>
    <s v="-NO COSTING-"/>
    <m/>
    <b v="0"/>
    <n v="85.02"/>
  </r>
  <r>
    <d v="2025-04-30T00:00:00"/>
    <m/>
    <s v="GARTH JAMES IVOR CORBITT"/>
    <m/>
    <s v="N"/>
    <x v="0"/>
    <s v="Normal"/>
    <n v="141.87"/>
    <n v="165.7355"/>
    <n v="23512.9"/>
    <m/>
    <n v="0"/>
    <n v="23512.9"/>
    <s v="-NO COSTING-"/>
    <m/>
    <b v="0"/>
    <n v="165.74"/>
  </r>
  <r>
    <d v="2025-04-30T00:00:00"/>
    <m/>
    <s v="GARTH JAMES IVOR CORBITT"/>
    <m/>
    <s v="A"/>
    <x v="4"/>
    <s v="MV ALLOWANCE GC"/>
    <n v="1666.67"/>
    <n v="1"/>
    <m/>
    <m/>
    <n v="0"/>
    <m/>
    <s v="-NO COSTING-"/>
    <m/>
    <b v="0"/>
    <n v="165.74"/>
  </r>
  <r>
    <d v="2025-04-30T00:00:00"/>
    <m/>
    <s v="GARTH JAMES IVOR CORBITT"/>
    <m/>
    <s v="N"/>
    <x v="12"/>
    <s v="Public Holiday"/>
    <n v="22.8"/>
    <n v="165.7355"/>
    <n v="3778.77"/>
    <m/>
    <n v="0"/>
    <n v="3778.77"/>
    <s v="-NO COSTING-"/>
    <m/>
    <b v="0"/>
    <n v="165.74"/>
  </r>
  <r>
    <d v="2025-04-30T00:00:00"/>
    <m/>
    <s v="GARTH JAMES IVOR CORBITT"/>
    <m/>
    <s v="E"/>
    <x v="1"/>
    <s v="Super Guarantee 11.5%"/>
    <n v="28958.34"/>
    <n v="11.5"/>
    <m/>
    <m/>
    <n v="0"/>
    <n v="3330.21"/>
    <s v="-NO COSTING-"/>
    <m/>
    <b v="0"/>
    <n v="165.74"/>
  </r>
  <r>
    <d v="2025-04-30T00:00:00"/>
    <m/>
    <s v="GARTH JAMES IVOR CORBITT"/>
    <m/>
    <s v="B"/>
    <x v="5"/>
    <s v="JIG &amp; RG CORBITT"/>
    <n v="18168.34"/>
    <n v="1"/>
    <m/>
    <m/>
    <n v="0"/>
    <m/>
    <s v="-NO COSTING-"/>
    <m/>
    <b v="0"/>
    <n v="165.74"/>
  </r>
  <r>
    <d v="2025-04-30T00:00:00"/>
    <m/>
    <s v="GARTH JAMES IVOR CORBITT"/>
    <m/>
    <s v="T"/>
    <x v="3"/>
    <s v="Tax"/>
    <n v="28958.34"/>
    <n v="37.26"/>
    <m/>
    <m/>
    <n v="0"/>
    <n v="10789.88"/>
    <s v="-NO COSTING-"/>
    <m/>
    <b v="0"/>
    <n v="165.74"/>
  </r>
  <r>
    <d v="2025-04-30T00:00:00"/>
    <m/>
    <s v="PHILIP CANDLER"/>
    <m/>
    <s v="N"/>
    <x v="0"/>
    <s v="Normal"/>
    <n v="119.07"/>
    <n v="85.020200000000003"/>
    <n v="10123.36"/>
    <m/>
    <n v="0"/>
    <n v="10123.36"/>
    <s v="-NO COSTING-"/>
    <m/>
    <b v="0"/>
    <n v="85.02"/>
  </r>
  <r>
    <d v="2025-04-30T00:00:00"/>
    <m/>
    <s v="PHILIP CANDLER"/>
    <m/>
    <s v="N"/>
    <x v="6"/>
    <s v="Annual Leave"/>
    <n v="22.8"/>
    <n v="85.020200000000003"/>
    <n v="1938.46"/>
    <m/>
    <n v="0"/>
    <n v="1938.46"/>
    <s v="-NO COSTING-"/>
    <m/>
    <b v="0"/>
    <n v="85.02"/>
  </r>
  <r>
    <d v="2025-04-30T00:00:00"/>
    <m/>
    <s v="PHILIP CANDLER"/>
    <m/>
    <s v="A"/>
    <x v="7"/>
    <s v="Leave Loading"/>
    <n v="22.8"/>
    <n v="17.5"/>
    <m/>
    <m/>
    <n v="0"/>
    <n v="339.23"/>
    <s v="-NO COSTING-"/>
    <m/>
    <b v="0"/>
    <n v="85.02"/>
  </r>
  <r>
    <d v="2025-04-30T00:00:00"/>
    <m/>
    <s v="PHILIP CANDLER"/>
    <m/>
    <s v="N"/>
    <x v="12"/>
    <s v="Public Holiday"/>
    <n v="22.8"/>
    <n v="85.020200000000003"/>
    <n v="1938.46"/>
    <m/>
    <n v="0"/>
    <n v="1938.46"/>
    <s v="-NO COSTING-"/>
    <m/>
    <b v="0"/>
    <n v="85.02"/>
  </r>
  <r>
    <d v="2025-04-30T00:00:00"/>
    <m/>
    <s v="PHILIP CANDLER"/>
    <m/>
    <s v="A"/>
    <x v="8"/>
    <s v="Car Allowance"/>
    <n v="1833.33"/>
    <n v="1"/>
    <m/>
    <m/>
    <n v="0"/>
    <m/>
    <s v="-NO COSTING-"/>
    <m/>
    <b v="0"/>
    <n v="85.02"/>
  </r>
  <r>
    <d v="2025-04-30T00:00:00"/>
    <m/>
    <s v="PHILIP CANDLER"/>
    <m/>
    <s v="E"/>
    <x v="1"/>
    <s v="Super Guarantee 11.5%"/>
    <n v="14000.28"/>
    <n v="11.5"/>
    <m/>
    <m/>
    <n v="0"/>
    <n v="1610.03"/>
    <s v="-NO COSTING-"/>
    <m/>
    <b v="0"/>
    <n v="85.02"/>
  </r>
  <r>
    <d v="2025-04-30T00:00:00"/>
    <m/>
    <s v="PHILIP CANDLER"/>
    <m/>
    <s v="D"/>
    <x v="9"/>
    <s v="SALARY SACRIFICE"/>
    <n v="583.33000000000004"/>
    <n v="1"/>
    <m/>
    <m/>
    <n v="0"/>
    <n v="583.33000000000004"/>
    <s v="-NO COSTING-"/>
    <m/>
    <b v="0"/>
    <n v="85.02"/>
  </r>
  <r>
    <d v="2025-04-30T00:00:00"/>
    <m/>
    <s v="PHILIP CANDLER"/>
    <m/>
    <s v="B"/>
    <x v="10"/>
    <s v="Mr Philip Candler"/>
    <n v="1833.33"/>
    <n v="1"/>
    <m/>
    <m/>
    <n v="0"/>
    <m/>
    <s v="-NO COSTING-"/>
    <m/>
    <b v="0"/>
    <n v="85.02"/>
  </r>
  <r>
    <d v="2025-04-30T00:00:00"/>
    <m/>
    <s v="PHILIP CANDLER"/>
    <m/>
    <s v="B"/>
    <x v="11"/>
    <s v="PHILIP CANDLER"/>
    <n v="9228.18"/>
    <n v="1"/>
    <m/>
    <m/>
    <n v="0"/>
    <m/>
    <s v="-NO COSTING-"/>
    <m/>
    <b v="0"/>
    <n v="85.02"/>
  </r>
  <r>
    <d v="2025-04-30T00:00:00"/>
    <m/>
    <s v="PHILIP CANDLER"/>
    <m/>
    <s v="T"/>
    <x v="3"/>
    <s v="Tax"/>
    <n v="15589.51"/>
    <n v="29.05"/>
    <m/>
    <m/>
    <n v="0"/>
    <n v="4528.75"/>
    <s v="-NO COSTING-"/>
    <m/>
    <b v="0"/>
    <n v="85.02"/>
  </r>
  <r>
    <d v="2025-05-31T00:00:00"/>
    <m/>
    <s v="GARTH JAMES IVOR CORBITT"/>
    <m/>
    <s v="N"/>
    <x v="0"/>
    <s v="Normal"/>
    <n v="157.07"/>
    <n v="165.7355"/>
    <n v="26032.080000000002"/>
    <m/>
    <n v="0"/>
    <n v="26032.080000000002"/>
    <s v="-NO COSTING-"/>
    <m/>
    <b v="0"/>
    <n v="165.74"/>
  </r>
  <r>
    <d v="2025-05-31T00:00:00"/>
    <m/>
    <s v="GARTH JAMES IVOR CORBITT"/>
    <m/>
    <s v="N"/>
    <x v="12"/>
    <s v="Public Holiday"/>
    <n v="7.6"/>
    <n v="165.7355"/>
    <n v="1259.5899999999999"/>
    <m/>
    <n v="0"/>
    <n v="1259.5899999999999"/>
    <s v="-NO COSTING-"/>
    <m/>
    <b v="0"/>
    <n v="165.74"/>
  </r>
  <r>
    <d v="2025-05-31T00:00:00"/>
    <m/>
    <s v="GARTH JAMES IVOR CORBITT"/>
    <m/>
    <s v="A"/>
    <x v="4"/>
    <s v="MV ALLOWANCE GC"/>
    <n v="1666.67"/>
    <n v="1"/>
    <m/>
    <m/>
    <n v="0"/>
    <m/>
    <s v="-NO COSTING-"/>
    <m/>
    <b v="0"/>
    <n v="165.74"/>
  </r>
  <r>
    <d v="2025-05-31T00:00:00"/>
    <m/>
    <s v="GARTH JAMES IVOR CORBITT"/>
    <m/>
    <s v="E"/>
    <x v="1"/>
    <s v="Super Guarantee 11.5%"/>
    <n v="28958.34"/>
    <n v="11.5"/>
    <m/>
    <m/>
    <n v="0"/>
    <n v="3330.21"/>
    <s v="-NO COSTING-"/>
    <m/>
    <b v="0"/>
    <n v="165.74"/>
  </r>
  <r>
    <d v="2025-05-31T00:00:00"/>
    <m/>
    <s v="GARTH JAMES IVOR CORBITT"/>
    <m/>
    <s v="B"/>
    <x v="5"/>
    <s v="JIG &amp; RG CORBITT"/>
    <n v="18168.34"/>
    <n v="1"/>
    <m/>
    <m/>
    <n v="0"/>
    <m/>
    <s v="-NO COSTING-"/>
    <m/>
    <b v="0"/>
    <n v="165.74"/>
  </r>
  <r>
    <d v="2025-05-31T00:00:00"/>
    <m/>
    <s v="GARTH JAMES IVOR CORBITT"/>
    <m/>
    <s v="T"/>
    <x v="3"/>
    <s v="Tax"/>
    <n v="28958.34"/>
    <n v="37.26"/>
    <m/>
    <m/>
    <n v="0"/>
    <n v="10789.88"/>
    <s v="-NO COSTING-"/>
    <m/>
    <b v="0"/>
    <n v="165.74"/>
  </r>
  <r>
    <d v="2025-05-31T00:00:00"/>
    <m/>
    <s v="PHILIP CANDLER"/>
    <m/>
    <s v="N"/>
    <x v="0"/>
    <s v="Normal"/>
    <n v="157.07"/>
    <n v="85.020200000000003"/>
    <n v="13354.13"/>
    <m/>
    <n v="0"/>
    <n v="13354.13"/>
    <s v="-NO COSTING-"/>
    <m/>
    <b v="0"/>
    <n v="85.02"/>
  </r>
  <r>
    <d v="2025-05-31T00:00:00"/>
    <m/>
    <s v="PHILIP CANDLER"/>
    <m/>
    <s v="N"/>
    <x v="12"/>
    <s v="Public Holiday"/>
    <n v="7.6"/>
    <n v="85.020200000000003"/>
    <n v="646.15"/>
    <m/>
    <n v="0"/>
    <n v="646.15"/>
    <s v="-NO COSTING-"/>
    <m/>
    <b v="0"/>
    <n v="85.02"/>
  </r>
  <r>
    <d v="2025-05-31T00:00:00"/>
    <m/>
    <s v="PHILIP CANDLER"/>
    <m/>
    <s v="A"/>
    <x v="8"/>
    <s v="Car Allowance"/>
    <n v="1833.33"/>
    <n v="1"/>
    <m/>
    <m/>
    <n v="0"/>
    <m/>
    <s v="-NO COSTING-"/>
    <m/>
    <b v="0"/>
    <n v="85.02"/>
  </r>
  <r>
    <d v="2025-05-31T00:00:00"/>
    <m/>
    <s v="PHILIP CANDLER"/>
    <m/>
    <s v="E"/>
    <x v="1"/>
    <s v="Super Guarantee 11.5%"/>
    <n v="14000.28"/>
    <n v="11.5"/>
    <m/>
    <m/>
    <n v="0"/>
    <n v="1610.03"/>
    <s v="-NO COSTING-"/>
    <m/>
    <b v="0"/>
    <n v="85.02"/>
  </r>
  <r>
    <d v="2025-05-31T00:00:00"/>
    <m/>
    <s v="PHILIP CANDLER"/>
    <m/>
    <s v="D"/>
    <x v="9"/>
    <s v="SALARY SACRIFICE"/>
    <n v="583.33000000000004"/>
    <n v="1"/>
    <m/>
    <m/>
    <n v="0"/>
    <n v="583.33000000000004"/>
    <s v="-NO COSTING-"/>
    <m/>
    <b v="0"/>
    <n v="85.02"/>
  </r>
  <r>
    <d v="2025-05-31T00:00:00"/>
    <m/>
    <s v="PHILIP CANDLER"/>
    <m/>
    <s v="B"/>
    <x v="10"/>
    <s v="Mr Philip Candler"/>
    <n v="1833.33"/>
    <n v="1"/>
    <m/>
    <m/>
    <n v="0"/>
    <m/>
    <s v="-NO COSTING-"/>
    <m/>
    <b v="0"/>
    <n v="85.02"/>
  </r>
  <r>
    <d v="2025-05-31T00:00:00"/>
    <m/>
    <s v="PHILIP CANDLER"/>
    <m/>
    <s v="B"/>
    <x v="11"/>
    <s v="PHILIP CANDLER"/>
    <n v="9022.9500000000007"/>
    <n v="1"/>
    <m/>
    <m/>
    <n v="0"/>
    <m/>
    <s v="-NO COSTING-"/>
    <m/>
    <b v="0"/>
    <n v="85.02"/>
  </r>
  <r>
    <d v="2025-05-31T00:00:00"/>
    <m/>
    <s v="PHILIP CANDLER"/>
    <m/>
    <s v="T"/>
    <x v="3"/>
    <s v="Tax"/>
    <n v="15250.28"/>
    <n v="28.81"/>
    <m/>
    <m/>
    <n v="0"/>
    <n v="4393.6099999999997"/>
    <s v="-NO COSTING-"/>
    <m/>
    <b v="0"/>
    <n v="85.02"/>
  </r>
  <r>
    <d v="2025-06-30T00:00:00"/>
    <m/>
    <s v="GARTH JAMES IVOR CORBITT"/>
    <m/>
    <s v="N"/>
    <x v="0"/>
    <s v="Normal"/>
    <n v="164.67"/>
    <n v="165.7355"/>
    <n v="27291.67"/>
    <m/>
    <n v="0"/>
    <n v="27291.67"/>
    <s v="-NO COSTING-"/>
    <m/>
    <b v="0"/>
    <n v="165.74"/>
  </r>
  <r>
    <d v="2025-06-30T00:00:00"/>
    <m/>
    <s v="GARTH JAMES IVOR CORBITT"/>
    <m/>
    <s v="A"/>
    <x v="4"/>
    <s v="MV ALLOWANCE GC"/>
    <n v="1666.67"/>
    <n v="1"/>
    <m/>
    <m/>
    <n v="0"/>
    <m/>
    <s v="-NO COSTING-"/>
    <m/>
    <b v="0"/>
    <n v="165.74"/>
  </r>
  <r>
    <d v="2025-06-30T00:00:00"/>
    <m/>
    <s v="GARTH JAMES IVOR CORBITT"/>
    <m/>
    <s v="E"/>
    <x v="1"/>
    <s v="Super Guarantee 11.5%"/>
    <n v="28958.34"/>
    <n v="11.5"/>
    <m/>
    <m/>
    <n v="0"/>
    <n v="3330.21"/>
    <s v="-NO COSTING-"/>
    <m/>
    <b v="0"/>
    <n v="165.74"/>
  </r>
  <r>
    <d v="2025-06-30T00:00:00"/>
    <m/>
    <s v="GARTH JAMES IVOR CORBITT"/>
    <m/>
    <s v="B"/>
    <x v="5"/>
    <s v="JIG &amp; RG CORBITT"/>
    <n v="18168.34"/>
    <n v="1"/>
    <m/>
    <m/>
    <n v="0"/>
    <m/>
    <s v="-NO COSTING-"/>
    <m/>
    <b v="0"/>
    <n v="165.74"/>
  </r>
  <r>
    <d v="2025-06-30T00:00:00"/>
    <m/>
    <s v="GARTH JAMES IVOR CORBITT"/>
    <m/>
    <s v="T"/>
    <x v="3"/>
    <s v="Tax"/>
    <n v="28958.34"/>
    <n v="37.26"/>
    <m/>
    <m/>
    <n v="0"/>
    <n v="10789.88"/>
    <s v="-NO COSTING-"/>
    <m/>
    <b v="0"/>
    <n v="165.74"/>
  </r>
  <r>
    <d v="2025-06-30T00:00:00"/>
    <m/>
    <s v="PHILIP CANDLER"/>
    <m/>
    <s v="N"/>
    <x v="0"/>
    <s v="Normal"/>
    <n v="164.67"/>
    <n v="85.020200000000003"/>
    <n v="14000.28"/>
    <m/>
    <n v="0"/>
    <n v="14000.28"/>
    <s v="-NO COSTING-"/>
    <m/>
    <b v="0"/>
    <n v="85.02"/>
  </r>
  <r>
    <d v="2025-06-30T00:00:00"/>
    <m/>
    <s v="PHILIP CANDLER"/>
    <m/>
    <s v="A"/>
    <x v="8"/>
    <s v="Car Allowance"/>
    <n v="1833.33"/>
    <n v="1"/>
    <m/>
    <m/>
    <n v="0"/>
    <m/>
    <s v="-NO COSTING-"/>
    <m/>
    <b v="0"/>
    <n v="85.02"/>
  </r>
  <r>
    <d v="2025-06-30T00:00:00"/>
    <m/>
    <s v="PHILIP CANDLER"/>
    <m/>
    <s v="E"/>
    <x v="1"/>
    <s v="Super Guarantee 11.5%"/>
    <n v="14000.28"/>
    <n v="11.5"/>
    <m/>
    <m/>
    <n v="0"/>
    <n v="1610.03"/>
    <s v="-NO COSTING-"/>
    <m/>
    <b v="0"/>
    <n v="85.02"/>
  </r>
  <r>
    <d v="2025-06-30T00:00:00"/>
    <m/>
    <s v="PHILIP CANDLER"/>
    <m/>
    <s v="D"/>
    <x v="9"/>
    <s v="SALARY SACRIFICE"/>
    <n v="583.33000000000004"/>
    <n v="1"/>
    <m/>
    <m/>
    <n v="0"/>
    <n v="583.33000000000004"/>
    <s v="-NO COSTING-"/>
    <m/>
    <b v="0"/>
    <n v="85.02"/>
  </r>
  <r>
    <d v="2025-06-30T00:00:00"/>
    <m/>
    <s v="PHILIP CANDLER"/>
    <m/>
    <s v="B"/>
    <x v="10"/>
    <s v="Mr Philip Candler"/>
    <n v="1833.33"/>
    <n v="1"/>
    <m/>
    <m/>
    <n v="0"/>
    <m/>
    <s v="-NO COSTING-"/>
    <m/>
    <b v="0"/>
    <n v="85.02"/>
  </r>
  <r>
    <d v="2025-06-30T00:00:00"/>
    <m/>
    <s v="PHILIP CANDLER"/>
    <m/>
    <s v="B"/>
    <x v="11"/>
    <s v="PHILIP CANDLER"/>
    <n v="9022.9500000000007"/>
    <n v="1"/>
    <m/>
    <m/>
    <n v="0"/>
    <m/>
    <s v="-NO COSTING-"/>
    <m/>
    <b v="0"/>
    <n v="85.02"/>
  </r>
  <r>
    <d v="2025-06-30T00:00:00"/>
    <m/>
    <s v="PHILIP CANDLER"/>
    <m/>
    <s v="T"/>
    <x v="3"/>
    <s v="Tax"/>
    <n v="15250.28"/>
    <n v="28.81"/>
    <m/>
    <m/>
    <n v="0"/>
    <n v="4393.6099999999997"/>
    <s v="-NO COSTING-"/>
    <m/>
    <b v="0"/>
    <n v="85.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E8EF6C-2D8E-4C78-AE5E-C9AA42F10CF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7">
    <pivotField numFmtId="14" showAll="0"/>
    <pivotField showAll="0"/>
    <pivotField showAll="0"/>
    <pivotField showAll="0"/>
    <pivotField showAll="0"/>
    <pivotField showAll="0">
      <items count="19">
        <item x="1"/>
        <item x="6"/>
        <item x="15"/>
        <item x="17"/>
        <item x="11"/>
        <item x="10"/>
        <item x="8"/>
        <item x="5"/>
        <item x="7"/>
        <item x="16"/>
        <item x="14"/>
        <item x="4"/>
        <item x="0"/>
        <item x="3"/>
        <item x="12"/>
        <item x="9"/>
        <item x="1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D5B6A-F8C5-4057-B5D6-BA4AF4EA45EE}">
  <dimension ref="A3:C20"/>
  <sheetViews>
    <sheetView workbookViewId="0">
      <selection activeCell="A3" sqref="A3"/>
    </sheetView>
  </sheetViews>
  <sheetFormatPr defaultRowHeight="15" x14ac:dyDescent="0.25"/>
  <cols>
    <col min="1" max="2" width="13.140625" bestFit="1" customWidth="1"/>
  </cols>
  <sheetData>
    <row r="3" spans="1:3" x14ac:dyDescent="0.25">
      <c r="A3" s="3"/>
      <c r="B3" s="4"/>
      <c r="C3" s="5"/>
    </row>
    <row r="4" spans="1:3" x14ac:dyDescent="0.25">
      <c r="A4" s="6"/>
      <c r="B4" s="7"/>
      <c r="C4" s="8"/>
    </row>
    <row r="5" spans="1:3" x14ac:dyDescent="0.25">
      <c r="A5" s="6"/>
      <c r="B5" s="7"/>
      <c r="C5" s="8"/>
    </row>
    <row r="6" spans="1:3" x14ac:dyDescent="0.25">
      <c r="A6" s="6"/>
      <c r="B6" s="7"/>
      <c r="C6" s="8"/>
    </row>
    <row r="7" spans="1:3" x14ac:dyDescent="0.25">
      <c r="A7" s="6"/>
      <c r="B7" s="7"/>
      <c r="C7" s="8"/>
    </row>
    <row r="8" spans="1:3" x14ac:dyDescent="0.25">
      <c r="A8" s="6"/>
      <c r="B8" s="7"/>
      <c r="C8" s="8"/>
    </row>
    <row r="9" spans="1:3" x14ac:dyDescent="0.25">
      <c r="A9" s="6"/>
      <c r="B9" s="7"/>
      <c r="C9" s="8"/>
    </row>
    <row r="10" spans="1:3" x14ac:dyDescent="0.25">
      <c r="A10" s="6"/>
      <c r="B10" s="7"/>
      <c r="C10" s="8"/>
    </row>
    <row r="11" spans="1:3" x14ac:dyDescent="0.25">
      <c r="A11" s="6"/>
      <c r="B11" s="7"/>
      <c r="C11" s="8"/>
    </row>
    <row r="12" spans="1:3" x14ac:dyDescent="0.25">
      <c r="A12" s="6"/>
      <c r="B12" s="7"/>
      <c r="C12" s="8"/>
    </row>
    <row r="13" spans="1:3" x14ac:dyDescent="0.25">
      <c r="A13" s="6"/>
      <c r="B13" s="7"/>
      <c r="C13" s="8"/>
    </row>
    <row r="14" spans="1:3" x14ac:dyDescent="0.25">
      <c r="A14" s="6"/>
      <c r="B14" s="7"/>
      <c r="C14" s="8"/>
    </row>
    <row r="15" spans="1:3" x14ac:dyDescent="0.25">
      <c r="A15" s="6"/>
      <c r="B15" s="7"/>
      <c r="C15" s="8"/>
    </row>
    <row r="16" spans="1:3" x14ac:dyDescent="0.25">
      <c r="A16" s="6"/>
      <c r="B16" s="7"/>
      <c r="C16" s="8"/>
    </row>
    <row r="17" spans="1:3" x14ac:dyDescent="0.25">
      <c r="A17" s="6"/>
      <c r="B17" s="7"/>
      <c r="C17" s="8"/>
    </row>
    <row r="18" spans="1:3" x14ac:dyDescent="0.25">
      <c r="A18" s="6"/>
      <c r="B18" s="7"/>
      <c r="C18" s="8"/>
    </row>
    <row r="19" spans="1:3" x14ac:dyDescent="0.25">
      <c r="A19" s="6"/>
      <c r="B19" s="7"/>
      <c r="C19" s="8"/>
    </row>
    <row r="20" spans="1:3" x14ac:dyDescent="0.25">
      <c r="A20" s="9"/>
      <c r="B20" s="10"/>
      <c r="C20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8269D-B817-4E68-87B1-9CA73544897F}">
  <sheetPr filterMode="1"/>
  <dimension ref="A1:R201"/>
  <sheetViews>
    <sheetView tabSelected="1" workbookViewId="0">
      <selection activeCell="N1" sqref="N1:N1048576"/>
    </sheetView>
  </sheetViews>
  <sheetFormatPr defaultRowHeight="15" x14ac:dyDescent="0.25"/>
  <cols>
    <col min="2" max="2" width="13.28515625" bestFit="1" customWidth="1"/>
    <col min="4" max="4" width="9.28515625" customWidth="1"/>
  </cols>
  <sheetData>
    <row r="1" spans="1:1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hidden="1" x14ac:dyDescent="0.25">
      <c r="A2">
        <v>0</v>
      </c>
      <c r="B2" s="1">
        <v>45504</v>
      </c>
      <c r="D2" t="s">
        <v>17</v>
      </c>
      <c r="F2" t="s">
        <v>18</v>
      </c>
      <c r="G2" t="s">
        <v>19</v>
      </c>
      <c r="H2" t="s">
        <v>20</v>
      </c>
      <c r="I2">
        <v>164.67</v>
      </c>
      <c r="J2">
        <v>65.7881</v>
      </c>
      <c r="K2">
        <v>10833.33</v>
      </c>
      <c r="M2">
        <v>0</v>
      </c>
      <c r="N2">
        <v>10833.33</v>
      </c>
      <c r="O2" t="s">
        <v>21</v>
      </c>
      <c r="Q2" t="b">
        <v>0</v>
      </c>
      <c r="R2">
        <v>65.790000000000006</v>
      </c>
    </row>
    <row r="3" spans="1:18" hidden="1" x14ac:dyDescent="0.25">
      <c r="A3">
        <v>1</v>
      </c>
      <c r="B3" s="1">
        <v>45504</v>
      </c>
      <c r="D3" t="s">
        <v>17</v>
      </c>
      <c r="F3" t="s">
        <v>22</v>
      </c>
      <c r="G3">
        <v>9</v>
      </c>
      <c r="H3" t="s">
        <v>23</v>
      </c>
      <c r="I3">
        <v>10833.33</v>
      </c>
      <c r="J3">
        <v>11.5</v>
      </c>
      <c r="M3">
        <v>0</v>
      </c>
      <c r="N3" s="2">
        <v>1245.83</v>
      </c>
      <c r="O3" t="s">
        <v>21</v>
      </c>
      <c r="Q3" t="b">
        <v>0</v>
      </c>
      <c r="R3">
        <v>65.790000000000006</v>
      </c>
    </row>
    <row r="4" spans="1:18" hidden="1" x14ac:dyDescent="0.25">
      <c r="A4">
        <v>2</v>
      </c>
      <c r="B4" s="1">
        <v>45504</v>
      </c>
      <c r="D4" t="s">
        <v>17</v>
      </c>
      <c r="F4" t="s">
        <v>24</v>
      </c>
      <c r="G4" t="s">
        <v>25</v>
      </c>
      <c r="H4" t="s">
        <v>26</v>
      </c>
      <c r="I4">
        <v>8129.33</v>
      </c>
      <c r="J4">
        <v>1</v>
      </c>
      <c r="M4">
        <v>0</v>
      </c>
      <c r="O4" t="s">
        <v>21</v>
      </c>
      <c r="Q4" t="b">
        <v>0</v>
      </c>
      <c r="R4">
        <v>65.790000000000006</v>
      </c>
    </row>
    <row r="5" spans="1:18" hidden="1" x14ac:dyDescent="0.25">
      <c r="A5">
        <v>3</v>
      </c>
      <c r="B5" s="1">
        <v>45504</v>
      </c>
      <c r="D5" t="s">
        <v>17</v>
      </c>
      <c r="F5" t="s">
        <v>27</v>
      </c>
      <c r="G5" t="s">
        <v>28</v>
      </c>
      <c r="H5" t="s">
        <v>29</v>
      </c>
      <c r="I5">
        <v>10833.33</v>
      </c>
      <c r="J5">
        <v>24.96</v>
      </c>
      <c r="M5">
        <v>0</v>
      </c>
      <c r="N5">
        <v>2704</v>
      </c>
      <c r="O5" t="s">
        <v>21</v>
      </c>
      <c r="Q5" t="b">
        <v>0</v>
      </c>
      <c r="R5">
        <v>65.790000000000006</v>
      </c>
    </row>
    <row r="6" spans="1:18" hidden="1" x14ac:dyDescent="0.25">
      <c r="A6">
        <v>4</v>
      </c>
      <c r="B6" s="1">
        <v>45504</v>
      </c>
      <c r="D6" t="s">
        <v>30</v>
      </c>
      <c r="F6" t="s">
        <v>18</v>
      </c>
      <c r="G6" t="s">
        <v>19</v>
      </c>
      <c r="H6" t="s">
        <v>20</v>
      </c>
      <c r="I6">
        <v>164.67</v>
      </c>
      <c r="J6">
        <v>165.7355</v>
      </c>
      <c r="K6">
        <v>27291.67</v>
      </c>
      <c r="M6">
        <v>0</v>
      </c>
      <c r="N6">
        <v>27291.67</v>
      </c>
      <c r="O6" t="s">
        <v>21</v>
      </c>
      <c r="Q6" t="b">
        <v>0</v>
      </c>
      <c r="R6">
        <v>165.74</v>
      </c>
    </row>
    <row r="7" spans="1:18" hidden="1" x14ac:dyDescent="0.25">
      <c r="A7">
        <v>5</v>
      </c>
      <c r="B7" s="1">
        <v>45504</v>
      </c>
      <c r="D7" t="s">
        <v>30</v>
      </c>
      <c r="F7" t="s">
        <v>31</v>
      </c>
      <c r="G7" t="s">
        <v>32</v>
      </c>
      <c r="H7" t="s">
        <v>33</v>
      </c>
      <c r="I7">
        <v>1666.67</v>
      </c>
      <c r="J7">
        <v>1</v>
      </c>
      <c r="M7">
        <v>0</v>
      </c>
      <c r="N7">
        <f>I7</f>
        <v>1666.67</v>
      </c>
      <c r="O7" t="s">
        <v>21</v>
      </c>
      <c r="Q7" t="b">
        <v>0</v>
      </c>
      <c r="R7">
        <v>165.74</v>
      </c>
    </row>
    <row r="8" spans="1:18" hidden="1" x14ac:dyDescent="0.25">
      <c r="A8">
        <v>6</v>
      </c>
      <c r="B8" s="1">
        <v>45504</v>
      </c>
      <c r="D8" t="s">
        <v>30</v>
      </c>
      <c r="F8" t="s">
        <v>22</v>
      </c>
      <c r="G8">
        <v>9</v>
      </c>
      <c r="H8" t="s">
        <v>23</v>
      </c>
      <c r="I8">
        <v>28958.34</v>
      </c>
      <c r="J8">
        <v>11.5</v>
      </c>
      <c r="M8">
        <v>0</v>
      </c>
      <c r="N8" s="2">
        <v>3330.21</v>
      </c>
      <c r="O8" t="s">
        <v>21</v>
      </c>
      <c r="Q8" t="b">
        <v>0</v>
      </c>
      <c r="R8">
        <v>165.74</v>
      </c>
    </row>
    <row r="9" spans="1:18" hidden="1" x14ac:dyDescent="0.25">
      <c r="A9">
        <v>7</v>
      </c>
      <c r="B9" s="1">
        <v>45504</v>
      </c>
      <c r="D9" t="s">
        <v>30</v>
      </c>
      <c r="F9" t="s">
        <v>24</v>
      </c>
      <c r="G9" t="s">
        <v>34</v>
      </c>
      <c r="H9" t="s">
        <v>35</v>
      </c>
      <c r="I9">
        <v>18168.34</v>
      </c>
      <c r="J9">
        <v>1</v>
      </c>
      <c r="M9">
        <v>0</v>
      </c>
      <c r="O9" t="s">
        <v>21</v>
      </c>
      <c r="Q9" t="b">
        <v>0</v>
      </c>
      <c r="R9">
        <v>165.74</v>
      </c>
    </row>
    <row r="10" spans="1:18" hidden="1" x14ac:dyDescent="0.25">
      <c r="A10">
        <v>8</v>
      </c>
      <c r="B10" s="1">
        <v>45504</v>
      </c>
      <c r="D10" t="s">
        <v>30</v>
      </c>
      <c r="F10" t="s">
        <v>27</v>
      </c>
      <c r="G10" t="s">
        <v>28</v>
      </c>
      <c r="H10" t="s">
        <v>29</v>
      </c>
      <c r="I10">
        <v>28958.34</v>
      </c>
      <c r="J10">
        <v>37.26</v>
      </c>
      <c r="M10">
        <v>0</v>
      </c>
      <c r="N10">
        <v>10789.88</v>
      </c>
      <c r="O10" t="s">
        <v>21</v>
      </c>
      <c r="Q10" t="b">
        <v>0</v>
      </c>
      <c r="R10">
        <v>165.74</v>
      </c>
    </row>
    <row r="11" spans="1:18" hidden="1" x14ac:dyDescent="0.25">
      <c r="A11">
        <v>9</v>
      </c>
      <c r="B11" s="1">
        <v>45504</v>
      </c>
      <c r="D11" t="s">
        <v>36</v>
      </c>
      <c r="F11" t="s">
        <v>18</v>
      </c>
      <c r="G11" t="s">
        <v>19</v>
      </c>
      <c r="H11" t="s">
        <v>20</v>
      </c>
      <c r="I11">
        <v>81.069999999999993</v>
      </c>
      <c r="J11">
        <v>85.020200000000003</v>
      </c>
      <c r="K11">
        <v>6892.59</v>
      </c>
      <c r="M11">
        <v>0</v>
      </c>
      <c r="N11">
        <v>6892.59</v>
      </c>
      <c r="O11" t="s">
        <v>21</v>
      </c>
      <c r="Q11" t="b">
        <v>0</v>
      </c>
      <c r="R11">
        <v>85.02</v>
      </c>
    </row>
    <row r="12" spans="1:18" hidden="1" x14ac:dyDescent="0.25">
      <c r="A12">
        <v>10</v>
      </c>
      <c r="B12" s="1">
        <v>45504</v>
      </c>
      <c r="D12" t="s">
        <v>36</v>
      </c>
      <c r="F12" t="s">
        <v>18</v>
      </c>
      <c r="G12" t="s">
        <v>37</v>
      </c>
      <c r="H12" t="s">
        <v>38</v>
      </c>
      <c r="I12">
        <v>83.6</v>
      </c>
      <c r="J12">
        <v>85.020200000000003</v>
      </c>
      <c r="K12">
        <v>7107.69</v>
      </c>
      <c r="M12">
        <v>0</v>
      </c>
      <c r="N12">
        <v>7107.69</v>
      </c>
      <c r="O12" t="s">
        <v>21</v>
      </c>
      <c r="Q12" t="b">
        <v>0</v>
      </c>
      <c r="R12">
        <v>85.02</v>
      </c>
    </row>
    <row r="13" spans="1:18" hidden="1" x14ac:dyDescent="0.25">
      <c r="A13">
        <v>11</v>
      </c>
      <c r="B13" s="1">
        <v>45504</v>
      </c>
      <c r="D13" t="s">
        <v>36</v>
      </c>
      <c r="F13" t="s">
        <v>31</v>
      </c>
      <c r="G13" t="s">
        <v>39</v>
      </c>
      <c r="H13" t="s">
        <v>40</v>
      </c>
      <c r="I13">
        <v>83.6</v>
      </c>
      <c r="J13">
        <v>17.5</v>
      </c>
      <c r="M13">
        <v>0</v>
      </c>
      <c r="N13">
        <v>1243.8399999999999</v>
      </c>
      <c r="O13" t="s">
        <v>21</v>
      </c>
      <c r="Q13" t="b">
        <v>0</v>
      </c>
      <c r="R13">
        <v>85.02</v>
      </c>
    </row>
    <row r="14" spans="1:18" hidden="1" x14ac:dyDescent="0.25">
      <c r="A14">
        <v>12</v>
      </c>
      <c r="B14" s="1">
        <v>45504</v>
      </c>
      <c r="D14" t="s">
        <v>36</v>
      </c>
      <c r="F14" t="s">
        <v>31</v>
      </c>
      <c r="G14" t="s">
        <v>41</v>
      </c>
      <c r="H14" t="s">
        <v>42</v>
      </c>
      <c r="I14">
        <v>1833.33</v>
      </c>
      <c r="J14">
        <v>1</v>
      </c>
      <c r="M14">
        <v>0</v>
      </c>
      <c r="N14">
        <f>I14</f>
        <v>1833.33</v>
      </c>
      <c r="O14" t="s">
        <v>21</v>
      </c>
      <c r="Q14" t="b">
        <v>0</v>
      </c>
      <c r="R14">
        <v>85.02</v>
      </c>
    </row>
    <row r="15" spans="1:18" hidden="1" x14ac:dyDescent="0.25">
      <c r="A15">
        <v>13</v>
      </c>
      <c r="B15" s="1">
        <v>45504</v>
      </c>
      <c r="D15" t="s">
        <v>36</v>
      </c>
      <c r="F15" t="s">
        <v>22</v>
      </c>
      <c r="G15">
        <v>9</v>
      </c>
      <c r="H15" t="s">
        <v>23</v>
      </c>
      <c r="I15">
        <v>14000.28</v>
      </c>
      <c r="J15">
        <v>11.5</v>
      </c>
      <c r="M15">
        <v>0</v>
      </c>
      <c r="N15" s="2">
        <v>1610.03</v>
      </c>
      <c r="O15" t="s">
        <v>21</v>
      </c>
      <c r="Q15" t="b">
        <v>0</v>
      </c>
      <c r="R15">
        <v>85.02</v>
      </c>
    </row>
    <row r="16" spans="1:18" hidden="1" x14ac:dyDescent="0.25">
      <c r="A16">
        <v>14</v>
      </c>
      <c r="B16" s="1">
        <v>45504</v>
      </c>
      <c r="D16" t="s">
        <v>36</v>
      </c>
      <c r="F16" t="s">
        <v>43</v>
      </c>
      <c r="G16" t="s">
        <v>44</v>
      </c>
      <c r="H16" t="s">
        <v>45</v>
      </c>
      <c r="I16">
        <v>583.33000000000004</v>
      </c>
      <c r="J16">
        <v>1</v>
      </c>
      <c r="M16">
        <v>0</v>
      </c>
      <c r="N16">
        <v>583.33000000000004</v>
      </c>
      <c r="O16" t="s">
        <v>21</v>
      </c>
      <c r="Q16" t="b">
        <v>0</v>
      </c>
      <c r="R16">
        <v>85.02</v>
      </c>
    </row>
    <row r="17" spans="1:18" hidden="1" x14ac:dyDescent="0.25">
      <c r="A17">
        <v>15</v>
      </c>
      <c r="B17" s="1">
        <v>45504</v>
      </c>
      <c r="D17" t="s">
        <v>36</v>
      </c>
      <c r="F17" t="s">
        <v>24</v>
      </c>
      <c r="G17" t="s">
        <v>46</v>
      </c>
      <c r="H17" t="s">
        <v>47</v>
      </c>
      <c r="I17">
        <v>1833.33</v>
      </c>
      <c r="J17">
        <v>1</v>
      </c>
      <c r="M17">
        <v>0</v>
      </c>
      <c r="O17" t="s">
        <v>21</v>
      </c>
      <c r="Q17" t="b">
        <v>0</v>
      </c>
      <c r="R17">
        <v>85.02</v>
      </c>
    </row>
    <row r="18" spans="1:18" hidden="1" x14ac:dyDescent="0.25">
      <c r="A18">
        <v>16</v>
      </c>
      <c r="B18" s="1">
        <v>45504</v>
      </c>
      <c r="D18" t="s">
        <v>36</v>
      </c>
      <c r="F18" t="s">
        <v>24</v>
      </c>
      <c r="G18" t="s">
        <v>48</v>
      </c>
      <c r="H18" t="s">
        <v>36</v>
      </c>
      <c r="I18">
        <v>9724.7999999999993</v>
      </c>
      <c r="J18">
        <v>1</v>
      </c>
      <c r="M18">
        <v>0</v>
      </c>
      <c r="O18" t="s">
        <v>21</v>
      </c>
      <c r="Q18" t="b">
        <v>0</v>
      </c>
      <c r="R18">
        <v>85.02</v>
      </c>
    </row>
    <row r="19" spans="1:18" hidden="1" x14ac:dyDescent="0.25">
      <c r="A19">
        <v>17</v>
      </c>
      <c r="B19" s="1">
        <v>45504</v>
      </c>
      <c r="D19" t="s">
        <v>36</v>
      </c>
      <c r="F19" t="s">
        <v>27</v>
      </c>
      <c r="G19" t="s">
        <v>28</v>
      </c>
      <c r="H19" t="s">
        <v>29</v>
      </c>
      <c r="I19">
        <v>16494.13</v>
      </c>
      <c r="J19">
        <v>29.93</v>
      </c>
      <c r="M19">
        <v>0</v>
      </c>
      <c r="N19">
        <v>4936.6899999999996</v>
      </c>
      <c r="O19" t="s">
        <v>21</v>
      </c>
      <c r="Q19" t="b">
        <v>0</v>
      </c>
      <c r="R19">
        <v>85.02</v>
      </c>
    </row>
    <row r="20" spans="1:18" hidden="1" x14ac:dyDescent="0.25">
      <c r="A20">
        <v>18</v>
      </c>
      <c r="B20" s="1">
        <v>45535</v>
      </c>
      <c r="D20" t="s">
        <v>17</v>
      </c>
      <c r="F20" t="s">
        <v>18</v>
      </c>
      <c r="G20" t="s">
        <v>19</v>
      </c>
      <c r="H20" t="s">
        <v>20</v>
      </c>
      <c r="I20">
        <v>157.07</v>
      </c>
      <c r="J20">
        <v>65.7881</v>
      </c>
      <c r="K20">
        <v>10333.34</v>
      </c>
      <c r="M20">
        <v>0</v>
      </c>
      <c r="N20">
        <v>10333.34</v>
      </c>
      <c r="O20" t="s">
        <v>21</v>
      </c>
      <c r="Q20" t="b">
        <v>0</v>
      </c>
      <c r="R20">
        <v>65.790000000000006</v>
      </c>
    </row>
    <row r="21" spans="1:18" hidden="1" x14ac:dyDescent="0.25">
      <c r="A21">
        <v>19</v>
      </c>
      <c r="B21" s="1">
        <v>45535</v>
      </c>
      <c r="D21" t="s">
        <v>17</v>
      </c>
      <c r="F21" t="s">
        <v>18</v>
      </c>
      <c r="G21" t="s">
        <v>49</v>
      </c>
      <c r="H21" t="s">
        <v>50</v>
      </c>
      <c r="I21">
        <v>7.6</v>
      </c>
      <c r="J21">
        <v>65.7881</v>
      </c>
      <c r="K21">
        <v>499.99</v>
      </c>
      <c r="M21">
        <v>0</v>
      </c>
      <c r="N21">
        <v>499.99</v>
      </c>
      <c r="O21" t="s">
        <v>21</v>
      </c>
      <c r="Q21" t="b">
        <v>0</v>
      </c>
      <c r="R21">
        <v>65.790000000000006</v>
      </c>
    </row>
    <row r="22" spans="1:18" hidden="1" x14ac:dyDescent="0.25">
      <c r="A22">
        <v>20</v>
      </c>
      <c r="B22" s="1">
        <v>45535</v>
      </c>
      <c r="D22" t="s">
        <v>17</v>
      </c>
      <c r="F22" t="s">
        <v>22</v>
      </c>
      <c r="G22">
        <v>9</v>
      </c>
      <c r="H22" t="s">
        <v>23</v>
      </c>
      <c r="I22">
        <v>10833.33</v>
      </c>
      <c r="J22">
        <v>11.5</v>
      </c>
      <c r="M22">
        <v>0</v>
      </c>
      <c r="N22" s="2">
        <v>1245.83</v>
      </c>
      <c r="O22" t="s">
        <v>21</v>
      </c>
      <c r="Q22" t="b">
        <v>0</v>
      </c>
      <c r="R22">
        <v>65.790000000000006</v>
      </c>
    </row>
    <row r="23" spans="1:18" hidden="1" x14ac:dyDescent="0.25">
      <c r="A23">
        <v>21</v>
      </c>
      <c r="B23" s="1">
        <v>45535</v>
      </c>
      <c r="D23" t="s">
        <v>17</v>
      </c>
      <c r="F23" t="s">
        <v>24</v>
      </c>
      <c r="G23" t="s">
        <v>25</v>
      </c>
      <c r="H23" t="s">
        <v>26</v>
      </c>
      <c r="I23">
        <v>8129.33</v>
      </c>
      <c r="J23">
        <v>1</v>
      </c>
      <c r="M23">
        <v>0</v>
      </c>
      <c r="O23" t="s">
        <v>21</v>
      </c>
      <c r="Q23" t="b">
        <v>0</v>
      </c>
      <c r="R23">
        <v>65.790000000000006</v>
      </c>
    </row>
    <row r="24" spans="1:18" hidden="1" x14ac:dyDescent="0.25">
      <c r="A24">
        <v>22</v>
      </c>
      <c r="B24" s="1">
        <v>45535</v>
      </c>
      <c r="D24" t="s">
        <v>17</v>
      </c>
      <c r="F24" t="s">
        <v>27</v>
      </c>
      <c r="G24" t="s">
        <v>28</v>
      </c>
      <c r="H24" t="s">
        <v>29</v>
      </c>
      <c r="I24">
        <v>10833.33</v>
      </c>
      <c r="J24">
        <v>24.96</v>
      </c>
      <c r="M24">
        <v>0</v>
      </c>
      <c r="N24">
        <v>2704</v>
      </c>
      <c r="O24" t="s">
        <v>21</v>
      </c>
      <c r="Q24" t="b">
        <v>0</v>
      </c>
      <c r="R24">
        <v>65.790000000000006</v>
      </c>
    </row>
    <row r="25" spans="1:18" hidden="1" x14ac:dyDescent="0.25">
      <c r="A25">
        <v>23</v>
      </c>
      <c r="B25" s="1">
        <v>45535</v>
      </c>
      <c r="D25" t="s">
        <v>30</v>
      </c>
      <c r="F25" t="s">
        <v>18</v>
      </c>
      <c r="G25" t="s">
        <v>19</v>
      </c>
      <c r="H25" t="s">
        <v>20</v>
      </c>
      <c r="I25">
        <v>157.07</v>
      </c>
      <c r="J25">
        <v>165.7355</v>
      </c>
      <c r="K25">
        <v>26032.080000000002</v>
      </c>
      <c r="M25">
        <v>0</v>
      </c>
      <c r="N25">
        <v>26032.080000000002</v>
      </c>
      <c r="O25" t="s">
        <v>21</v>
      </c>
      <c r="Q25" t="b">
        <v>0</v>
      </c>
      <c r="R25">
        <v>165.74</v>
      </c>
    </row>
    <row r="26" spans="1:18" hidden="1" x14ac:dyDescent="0.25">
      <c r="A26">
        <v>24</v>
      </c>
      <c r="B26" s="1">
        <v>45535</v>
      </c>
      <c r="D26" t="s">
        <v>30</v>
      </c>
      <c r="F26" t="s">
        <v>18</v>
      </c>
      <c r="G26" t="s">
        <v>49</v>
      </c>
      <c r="H26" t="s">
        <v>50</v>
      </c>
      <c r="I26">
        <v>7.6</v>
      </c>
      <c r="J26">
        <v>165.7355</v>
      </c>
      <c r="K26">
        <v>1259.5899999999999</v>
      </c>
      <c r="M26">
        <v>0</v>
      </c>
      <c r="N26">
        <v>1259.5899999999999</v>
      </c>
      <c r="O26" t="s">
        <v>21</v>
      </c>
      <c r="Q26" t="b">
        <v>0</v>
      </c>
      <c r="R26">
        <v>165.74</v>
      </c>
    </row>
    <row r="27" spans="1:18" hidden="1" x14ac:dyDescent="0.25">
      <c r="A27">
        <v>25</v>
      </c>
      <c r="B27" s="1">
        <v>45535</v>
      </c>
      <c r="D27" t="s">
        <v>30</v>
      </c>
      <c r="F27" t="s">
        <v>31</v>
      </c>
      <c r="G27" t="s">
        <v>32</v>
      </c>
      <c r="H27" t="s">
        <v>33</v>
      </c>
      <c r="I27">
        <v>1666.67</v>
      </c>
      <c r="J27">
        <v>1</v>
      </c>
      <c r="M27">
        <v>0</v>
      </c>
      <c r="N27">
        <f>I27</f>
        <v>1666.67</v>
      </c>
      <c r="O27" t="s">
        <v>21</v>
      </c>
      <c r="Q27" t="b">
        <v>0</v>
      </c>
      <c r="R27">
        <v>165.74</v>
      </c>
    </row>
    <row r="28" spans="1:18" hidden="1" x14ac:dyDescent="0.25">
      <c r="A28">
        <v>26</v>
      </c>
      <c r="B28" s="1">
        <v>45535</v>
      </c>
      <c r="D28" t="s">
        <v>30</v>
      </c>
      <c r="F28" t="s">
        <v>22</v>
      </c>
      <c r="G28">
        <v>9</v>
      </c>
      <c r="H28" t="s">
        <v>23</v>
      </c>
      <c r="I28">
        <v>28958.34</v>
      </c>
      <c r="J28">
        <v>11.5</v>
      </c>
      <c r="M28">
        <v>0</v>
      </c>
      <c r="N28" s="2">
        <v>3330.21</v>
      </c>
      <c r="O28" t="s">
        <v>21</v>
      </c>
      <c r="Q28" t="b">
        <v>0</v>
      </c>
      <c r="R28">
        <v>165.74</v>
      </c>
    </row>
    <row r="29" spans="1:18" hidden="1" x14ac:dyDescent="0.25">
      <c r="A29">
        <v>27</v>
      </c>
      <c r="B29" s="1">
        <v>45535</v>
      </c>
      <c r="D29" t="s">
        <v>30</v>
      </c>
      <c r="F29" t="s">
        <v>24</v>
      </c>
      <c r="G29" t="s">
        <v>34</v>
      </c>
      <c r="H29" t="s">
        <v>35</v>
      </c>
      <c r="I29">
        <v>18168.34</v>
      </c>
      <c r="J29">
        <v>1</v>
      </c>
      <c r="M29">
        <v>0</v>
      </c>
      <c r="O29" t="s">
        <v>21</v>
      </c>
      <c r="Q29" t="b">
        <v>0</v>
      </c>
      <c r="R29">
        <v>165.74</v>
      </c>
    </row>
    <row r="30" spans="1:18" hidden="1" x14ac:dyDescent="0.25">
      <c r="A30">
        <v>28</v>
      </c>
      <c r="B30" s="1">
        <v>45535</v>
      </c>
      <c r="D30" t="s">
        <v>30</v>
      </c>
      <c r="F30" t="s">
        <v>27</v>
      </c>
      <c r="G30" t="s">
        <v>28</v>
      </c>
      <c r="H30" t="s">
        <v>29</v>
      </c>
      <c r="I30">
        <v>28958.34</v>
      </c>
      <c r="J30">
        <v>37.26</v>
      </c>
      <c r="M30">
        <v>0</v>
      </c>
      <c r="N30">
        <v>10789.88</v>
      </c>
      <c r="O30" t="s">
        <v>21</v>
      </c>
      <c r="Q30" t="b">
        <v>0</v>
      </c>
      <c r="R30">
        <v>165.74</v>
      </c>
    </row>
    <row r="31" spans="1:18" hidden="1" x14ac:dyDescent="0.25">
      <c r="A31">
        <v>29</v>
      </c>
      <c r="B31" s="1">
        <v>45535</v>
      </c>
      <c r="D31" t="s">
        <v>36</v>
      </c>
      <c r="F31" t="s">
        <v>18</v>
      </c>
      <c r="G31" t="s">
        <v>19</v>
      </c>
      <c r="H31" t="s">
        <v>20</v>
      </c>
      <c r="I31">
        <v>141.87</v>
      </c>
      <c r="J31">
        <v>85.020200000000003</v>
      </c>
      <c r="K31">
        <v>12061.82</v>
      </c>
      <c r="M31">
        <v>0</v>
      </c>
      <c r="N31">
        <v>12061.82</v>
      </c>
      <c r="O31" t="s">
        <v>21</v>
      </c>
      <c r="Q31" t="b">
        <v>0</v>
      </c>
      <c r="R31">
        <v>85.02</v>
      </c>
    </row>
    <row r="32" spans="1:18" hidden="1" x14ac:dyDescent="0.25">
      <c r="A32">
        <v>30</v>
      </c>
      <c r="B32" s="1">
        <v>45535</v>
      </c>
      <c r="D32" t="s">
        <v>36</v>
      </c>
      <c r="F32" t="s">
        <v>18</v>
      </c>
      <c r="G32" t="s">
        <v>51</v>
      </c>
      <c r="H32" t="s">
        <v>52</v>
      </c>
      <c r="I32">
        <v>15.2</v>
      </c>
      <c r="J32">
        <v>85.020200000000003</v>
      </c>
      <c r="K32">
        <v>1292.31</v>
      </c>
      <c r="M32">
        <v>0</v>
      </c>
      <c r="N32">
        <v>1292.31</v>
      </c>
      <c r="O32" t="s">
        <v>21</v>
      </c>
      <c r="Q32" t="b">
        <v>0</v>
      </c>
      <c r="R32">
        <v>85.02</v>
      </c>
    </row>
    <row r="33" spans="1:18" hidden="1" x14ac:dyDescent="0.25">
      <c r="A33">
        <v>31</v>
      </c>
      <c r="B33" s="1">
        <v>45535</v>
      </c>
      <c r="D33" t="s">
        <v>36</v>
      </c>
      <c r="F33" t="s">
        <v>18</v>
      </c>
      <c r="G33" t="s">
        <v>49</v>
      </c>
      <c r="H33" t="s">
        <v>50</v>
      </c>
      <c r="I33">
        <v>7.6</v>
      </c>
      <c r="J33">
        <v>85.020200000000003</v>
      </c>
      <c r="K33">
        <v>646.15</v>
      </c>
      <c r="M33">
        <v>0</v>
      </c>
      <c r="N33">
        <v>646.15</v>
      </c>
      <c r="O33" t="s">
        <v>21</v>
      </c>
      <c r="Q33" t="b">
        <v>0</v>
      </c>
      <c r="R33">
        <v>85.02</v>
      </c>
    </row>
    <row r="34" spans="1:18" hidden="1" x14ac:dyDescent="0.25">
      <c r="A34">
        <v>32</v>
      </c>
      <c r="B34" s="1">
        <v>45535</v>
      </c>
      <c r="D34" t="s">
        <v>36</v>
      </c>
      <c r="F34" t="s">
        <v>31</v>
      </c>
      <c r="G34" t="s">
        <v>41</v>
      </c>
      <c r="H34" t="s">
        <v>42</v>
      </c>
      <c r="I34">
        <v>1833.33</v>
      </c>
      <c r="J34">
        <v>1</v>
      </c>
      <c r="M34">
        <v>0</v>
      </c>
      <c r="N34">
        <f>I34</f>
        <v>1833.33</v>
      </c>
      <c r="O34" t="s">
        <v>21</v>
      </c>
      <c r="Q34" t="b">
        <v>0</v>
      </c>
      <c r="R34">
        <v>85.02</v>
      </c>
    </row>
    <row r="35" spans="1:18" hidden="1" x14ac:dyDescent="0.25">
      <c r="A35">
        <v>33</v>
      </c>
      <c r="B35" s="1">
        <v>45535</v>
      </c>
      <c r="D35" t="s">
        <v>36</v>
      </c>
      <c r="F35" t="s">
        <v>22</v>
      </c>
      <c r="G35">
        <v>9</v>
      </c>
      <c r="H35" t="s">
        <v>23</v>
      </c>
      <c r="I35">
        <v>14000.28</v>
      </c>
      <c r="J35">
        <v>11.5</v>
      </c>
      <c r="M35">
        <v>0</v>
      </c>
      <c r="N35" s="2">
        <v>1610.03</v>
      </c>
      <c r="O35" t="s">
        <v>21</v>
      </c>
      <c r="Q35" t="b">
        <v>0</v>
      </c>
      <c r="R35">
        <v>85.02</v>
      </c>
    </row>
    <row r="36" spans="1:18" hidden="1" x14ac:dyDescent="0.25">
      <c r="A36">
        <v>34</v>
      </c>
      <c r="B36" s="1">
        <v>45535</v>
      </c>
      <c r="D36" t="s">
        <v>36</v>
      </c>
      <c r="F36" t="s">
        <v>43</v>
      </c>
      <c r="G36" t="s">
        <v>44</v>
      </c>
      <c r="H36" t="s">
        <v>45</v>
      </c>
      <c r="I36">
        <v>583.33000000000004</v>
      </c>
      <c r="J36">
        <v>1</v>
      </c>
      <c r="M36">
        <v>0</v>
      </c>
      <c r="N36">
        <v>583.33000000000004</v>
      </c>
      <c r="O36" t="s">
        <v>21</v>
      </c>
      <c r="Q36" t="b">
        <v>0</v>
      </c>
      <c r="R36">
        <v>85.02</v>
      </c>
    </row>
    <row r="37" spans="1:18" hidden="1" x14ac:dyDescent="0.25">
      <c r="A37">
        <v>35</v>
      </c>
      <c r="B37" s="1">
        <v>45535</v>
      </c>
      <c r="D37" t="s">
        <v>36</v>
      </c>
      <c r="F37" t="s">
        <v>24</v>
      </c>
      <c r="G37" t="s">
        <v>46</v>
      </c>
      <c r="H37" t="s">
        <v>47</v>
      </c>
      <c r="I37">
        <v>1833.33</v>
      </c>
      <c r="J37">
        <v>1</v>
      </c>
      <c r="M37">
        <v>0</v>
      </c>
      <c r="O37" t="s">
        <v>21</v>
      </c>
      <c r="Q37" t="b">
        <v>0</v>
      </c>
      <c r="R37">
        <v>85.02</v>
      </c>
    </row>
    <row r="38" spans="1:18" hidden="1" x14ac:dyDescent="0.25">
      <c r="A38">
        <v>36</v>
      </c>
      <c r="B38" s="1">
        <v>45535</v>
      </c>
      <c r="D38" t="s">
        <v>36</v>
      </c>
      <c r="F38" t="s">
        <v>24</v>
      </c>
      <c r="G38" t="s">
        <v>48</v>
      </c>
      <c r="H38" t="s">
        <v>36</v>
      </c>
      <c r="I38">
        <v>9022.9500000000007</v>
      </c>
      <c r="J38">
        <v>1</v>
      </c>
      <c r="M38">
        <v>0</v>
      </c>
      <c r="O38" t="s">
        <v>21</v>
      </c>
      <c r="Q38" t="b">
        <v>0</v>
      </c>
      <c r="R38">
        <v>85.02</v>
      </c>
    </row>
    <row r="39" spans="1:18" hidden="1" x14ac:dyDescent="0.25">
      <c r="A39">
        <v>37</v>
      </c>
      <c r="B39" s="1">
        <v>45535</v>
      </c>
      <c r="D39" t="s">
        <v>36</v>
      </c>
      <c r="F39" t="s">
        <v>27</v>
      </c>
      <c r="G39" t="s">
        <v>28</v>
      </c>
      <c r="H39" t="s">
        <v>29</v>
      </c>
      <c r="I39">
        <v>15250.28</v>
      </c>
      <c r="J39">
        <v>28.81</v>
      </c>
      <c r="M39">
        <v>0</v>
      </c>
      <c r="N39">
        <v>4393.6099999999997</v>
      </c>
      <c r="O39" t="s">
        <v>21</v>
      </c>
      <c r="Q39" t="b">
        <v>0</v>
      </c>
      <c r="R39">
        <v>85.02</v>
      </c>
    </row>
    <row r="40" spans="1:18" hidden="1" x14ac:dyDescent="0.25">
      <c r="A40">
        <v>38</v>
      </c>
      <c r="B40" s="1">
        <v>45565</v>
      </c>
      <c r="D40" t="s">
        <v>17</v>
      </c>
      <c r="F40" t="s">
        <v>18</v>
      </c>
      <c r="G40" t="s">
        <v>19</v>
      </c>
      <c r="H40" t="s">
        <v>20</v>
      </c>
      <c r="I40">
        <v>164.67</v>
      </c>
      <c r="J40">
        <v>65.7881</v>
      </c>
      <c r="K40">
        <v>10833.33</v>
      </c>
      <c r="M40">
        <v>0</v>
      </c>
      <c r="N40">
        <v>10833.33</v>
      </c>
      <c r="O40" t="s">
        <v>21</v>
      </c>
      <c r="Q40" t="b">
        <v>0</v>
      </c>
      <c r="R40">
        <v>65.790000000000006</v>
      </c>
    </row>
    <row r="41" spans="1:18" hidden="1" x14ac:dyDescent="0.25">
      <c r="A41">
        <v>39</v>
      </c>
      <c r="B41" s="1">
        <v>45565</v>
      </c>
      <c r="D41" t="s">
        <v>17</v>
      </c>
      <c r="F41" t="s">
        <v>22</v>
      </c>
      <c r="G41">
        <v>9</v>
      </c>
      <c r="H41" t="s">
        <v>23</v>
      </c>
      <c r="I41">
        <v>10833.33</v>
      </c>
      <c r="J41">
        <v>11.5</v>
      </c>
      <c r="M41">
        <v>0</v>
      </c>
      <c r="N41" s="2">
        <v>1245.83</v>
      </c>
      <c r="O41" t="s">
        <v>21</v>
      </c>
      <c r="Q41" t="b">
        <v>0</v>
      </c>
      <c r="R41">
        <v>65.790000000000006</v>
      </c>
    </row>
    <row r="42" spans="1:18" hidden="1" x14ac:dyDescent="0.25">
      <c r="A42">
        <v>40</v>
      </c>
      <c r="B42" s="1">
        <v>45565</v>
      </c>
      <c r="D42" t="s">
        <v>17</v>
      </c>
      <c r="F42" t="s">
        <v>24</v>
      </c>
      <c r="G42" t="s">
        <v>25</v>
      </c>
      <c r="H42" t="s">
        <v>26</v>
      </c>
      <c r="I42">
        <v>8129.33</v>
      </c>
      <c r="J42">
        <v>1</v>
      </c>
      <c r="M42">
        <v>0</v>
      </c>
      <c r="O42" t="s">
        <v>21</v>
      </c>
      <c r="Q42" t="b">
        <v>0</v>
      </c>
      <c r="R42">
        <v>65.790000000000006</v>
      </c>
    </row>
    <row r="43" spans="1:18" hidden="1" x14ac:dyDescent="0.25">
      <c r="A43">
        <v>41</v>
      </c>
      <c r="B43" s="1">
        <v>45565</v>
      </c>
      <c r="D43" t="s">
        <v>17</v>
      </c>
      <c r="F43" t="s">
        <v>27</v>
      </c>
      <c r="G43" t="s">
        <v>28</v>
      </c>
      <c r="H43" t="s">
        <v>29</v>
      </c>
      <c r="I43">
        <v>10833.33</v>
      </c>
      <c r="J43">
        <v>24.96</v>
      </c>
      <c r="M43">
        <v>0</v>
      </c>
      <c r="N43">
        <v>2704</v>
      </c>
      <c r="O43" t="s">
        <v>21</v>
      </c>
      <c r="Q43" t="b">
        <v>0</v>
      </c>
      <c r="R43">
        <v>65.790000000000006</v>
      </c>
    </row>
    <row r="44" spans="1:18" hidden="1" x14ac:dyDescent="0.25">
      <c r="A44">
        <v>42</v>
      </c>
      <c r="B44" s="1">
        <v>45565</v>
      </c>
      <c r="D44" t="s">
        <v>30</v>
      </c>
      <c r="F44" t="s">
        <v>18</v>
      </c>
      <c r="G44" t="s">
        <v>19</v>
      </c>
      <c r="H44" t="s">
        <v>20</v>
      </c>
      <c r="I44">
        <v>164.67</v>
      </c>
      <c r="J44">
        <v>165.7355</v>
      </c>
      <c r="K44">
        <v>27291.67</v>
      </c>
      <c r="M44">
        <v>0</v>
      </c>
      <c r="N44">
        <v>27291.67</v>
      </c>
      <c r="O44" t="s">
        <v>21</v>
      </c>
      <c r="Q44" t="b">
        <v>0</v>
      </c>
      <c r="R44">
        <v>165.74</v>
      </c>
    </row>
    <row r="45" spans="1:18" hidden="1" x14ac:dyDescent="0.25">
      <c r="A45">
        <v>43</v>
      </c>
      <c r="B45" s="1">
        <v>45565</v>
      </c>
      <c r="D45" t="s">
        <v>30</v>
      </c>
      <c r="F45" t="s">
        <v>31</v>
      </c>
      <c r="G45" t="s">
        <v>32</v>
      </c>
      <c r="H45" t="s">
        <v>33</v>
      </c>
      <c r="I45">
        <v>1666.67</v>
      </c>
      <c r="J45">
        <v>1</v>
      </c>
      <c r="M45">
        <v>0</v>
      </c>
      <c r="N45">
        <f>I45</f>
        <v>1666.67</v>
      </c>
      <c r="O45" t="s">
        <v>21</v>
      </c>
      <c r="Q45" t="b">
        <v>0</v>
      </c>
      <c r="R45">
        <v>165.74</v>
      </c>
    </row>
    <row r="46" spans="1:18" hidden="1" x14ac:dyDescent="0.25">
      <c r="A46">
        <v>44</v>
      </c>
      <c r="B46" s="1">
        <v>45565</v>
      </c>
      <c r="D46" t="s">
        <v>30</v>
      </c>
      <c r="F46" t="s">
        <v>22</v>
      </c>
      <c r="G46">
        <v>9</v>
      </c>
      <c r="H46" t="s">
        <v>23</v>
      </c>
      <c r="I46">
        <v>28958.34</v>
      </c>
      <c r="J46">
        <v>11.5</v>
      </c>
      <c r="M46">
        <v>0</v>
      </c>
      <c r="N46" s="2">
        <v>3330.21</v>
      </c>
      <c r="O46" t="s">
        <v>21</v>
      </c>
      <c r="Q46" t="b">
        <v>0</v>
      </c>
      <c r="R46">
        <v>165.74</v>
      </c>
    </row>
    <row r="47" spans="1:18" hidden="1" x14ac:dyDescent="0.25">
      <c r="A47">
        <v>45</v>
      </c>
      <c r="B47" s="1">
        <v>45565</v>
      </c>
      <c r="D47" t="s">
        <v>30</v>
      </c>
      <c r="F47" t="s">
        <v>24</v>
      </c>
      <c r="G47" t="s">
        <v>34</v>
      </c>
      <c r="H47" t="s">
        <v>35</v>
      </c>
      <c r="I47">
        <v>18168.34</v>
      </c>
      <c r="J47">
        <v>1</v>
      </c>
      <c r="M47">
        <v>0</v>
      </c>
      <c r="O47" t="s">
        <v>21</v>
      </c>
      <c r="Q47" t="b">
        <v>0</v>
      </c>
      <c r="R47">
        <v>165.74</v>
      </c>
    </row>
    <row r="48" spans="1:18" hidden="1" x14ac:dyDescent="0.25">
      <c r="A48">
        <v>46</v>
      </c>
      <c r="B48" s="1">
        <v>45565</v>
      </c>
      <c r="D48" t="s">
        <v>30</v>
      </c>
      <c r="F48" t="s">
        <v>27</v>
      </c>
      <c r="G48" t="s">
        <v>28</v>
      </c>
      <c r="H48" t="s">
        <v>29</v>
      </c>
      <c r="I48">
        <v>28958.34</v>
      </c>
      <c r="J48">
        <v>37.26</v>
      </c>
      <c r="M48">
        <v>0</v>
      </c>
      <c r="N48">
        <v>10789.88</v>
      </c>
      <c r="O48" t="s">
        <v>21</v>
      </c>
      <c r="Q48" t="b">
        <v>0</v>
      </c>
      <c r="R48">
        <v>165.74</v>
      </c>
    </row>
    <row r="49" spans="1:18" hidden="1" x14ac:dyDescent="0.25">
      <c r="A49">
        <v>47</v>
      </c>
      <c r="B49" s="1">
        <v>45565</v>
      </c>
      <c r="D49" t="s">
        <v>36</v>
      </c>
      <c r="F49" t="s">
        <v>18</v>
      </c>
      <c r="G49" t="s">
        <v>19</v>
      </c>
      <c r="H49" t="s">
        <v>20</v>
      </c>
      <c r="I49">
        <v>164.67</v>
      </c>
      <c r="J49">
        <v>85.020200000000003</v>
      </c>
      <c r="K49">
        <v>14000.28</v>
      </c>
      <c r="M49">
        <v>0</v>
      </c>
      <c r="N49">
        <v>14000.28</v>
      </c>
      <c r="O49" t="s">
        <v>21</v>
      </c>
      <c r="Q49" t="b">
        <v>0</v>
      </c>
      <c r="R49">
        <v>85.02</v>
      </c>
    </row>
    <row r="50" spans="1:18" hidden="1" x14ac:dyDescent="0.25">
      <c r="A50">
        <v>48</v>
      </c>
      <c r="B50" s="1">
        <v>45565</v>
      </c>
      <c r="D50" t="s">
        <v>36</v>
      </c>
      <c r="F50" t="s">
        <v>31</v>
      </c>
      <c r="G50" t="s">
        <v>41</v>
      </c>
      <c r="H50" t="s">
        <v>42</v>
      </c>
      <c r="I50">
        <v>1833.33</v>
      </c>
      <c r="J50">
        <v>1</v>
      </c>
      <c r="M50">
        <v>0</v>
      </c>
      <c r="N50">
        <f>I50</f>
        <v>1833.33</v>
      </c>
      <c r="O50" t="s">
        <v>21</v>
      </c>
      <c r="Q50" t="b">
        <v>0</v>
      </c>
      <c r="R50">
        <v>85.02</v>
      </c>
    </row>
    <row r="51" spans="1:18" hidden="1" x14ac:dyDescent="0.25">
      <c r="A51">
        <v>49</v>
      </c>
      <c r="B51" s="1">
        <v>45565</v>
      </c>
      <c r="D51" t="s">
        <v>36</v>
      </c>
      <c r="F51" t="s">
        <v>22</v>
      </c>
      <c r="G51">
        <v>9</v>
      </c>
      <c r="H51" t="s">
        <v>23</v>
      </c>
      <c r="I51">
        <v>14000.28</v>
      </c>
      <c r="J51">
        <v>11.5</v>
      </c>
      <c r="M51">
        <v>0</v>
      </c>
      <c r="N51" s="2">
        <v>1610.03</v>
      </c>
      <c r="O51" t="s">
        <v>21</v>
      </c>
      <c r="Q51" t="b">
        <v>0</v>
      </c>
      <c r="R51">
        <v>85.02</v>
      </c>
    </row>
    <row r="52" spans="1:18" hidden="1" x14ac:dyDescent="0.25">
      <c r="A52">
        <v>50</v>
      </c>
      <c r="B52" s="1">
        <v>45565</v>
      </c>
      <c r="D52" t="s">
        <v>36</v>
      </c>
      <c r="F52" t="s">
        <v>43</v>
      </c>
      <c r="G52" t="s">
        <v>44</v>
      </c>
      <c r="H52" t="s">
        <v>45</v>
      </c>
      <c r="I52">
        <v>583.33000000000004</v>
      </c>
      <c r="J52">
        <v>1</v>
      </c>
      <c r="M52">
        <v>0</v>
      </c>
      <c r="N52">
        <v>583.33000000000004</v>
      </c>
      <c r="O52" t="s">
        <v>21</v>
      </c>
      <c r="Q52" t="b">
        <v>0</v>
      </c>
      <c r="R52">
        <v>85.02</v>
      </c>
    </row>
    <row r="53" spans="1:18" hidden="1" x14ac:dyDescent="0.25">
      <c r="A53">
        <v>51</v>
      </c>
      <c r="B53" s="1">
        <v>45565</v>
      </c>
      <c r="D53" t="s">
        <v>36</v>
      </c>
      <c r="F53" t="s">
        <v>24</v>
      </c>
      <c r="G53" t="s">
        <v>46</v>
      </c>
      <c r="H53" t="s">
        <v>47</v>
      </c>
      <c r="I53">
        <v>1833.33</v>
      </c>
      <c r="J53">
        <v>1</v>
      </c>
      <c r="M53">
        <v>0</v>
      </c>
      <c r="O53" t="s">
        <v>21</v>
      </c>
      <c r="Q53" t="b">
        <v>0</v>
      </c>
      <c r="R53">
        <v>85.02</v>
      </c>
    </row>
    <row r="54" spans="1:18" hidden="1" x14ac:dyDescent="0.25">
      <c r="A54">
        <v>52</v>
      </c>
      <c r="B54" s="1">
        <v>45565</v>
      </c>
      <c r="D54" t="s">
        <v>36</v>
      </c>
      <c r="F54" t="s">
        <v>24</v>
      </c>
      <c r="G54" t="s">
        <v>48</v>
      </c>
      <c r="H54" t="s">
        <v>36</v>
      </c>
      <c r="I54">
        <v>9022.9500000000007</v>
      </c>
      <c r="J54">
        <v>1</v>
      </c>
      <c r="M54">
        <v>0</v>
      </c>
      <c r="O54" t="s">
        <v>21</v>
      </c>
      <c r="Q54" t="b">
        <v>0</v>
      </c>
      <c r="R54">
        <v>85.02</v>
      </c>
    </row>
    <row r="55" spans="1:18" hidden="1" x14ac:dyDescent="0.25">
      <c r="A55">
        <v>53</v>
      </c>
      <c r="B55" s="1">
        <v>45565</v>
      </c>
      <c r="D55" t="s">
        <v>36</v>
      </c>
      <c r="F55" t="s">
        <v>27</v>
      </c>
      <c r="G55" t="s">
        <v>28</v>
      </c>
      <c r="H55" t="s">
        <v>29</v>
      </c>
      <c r="I55">
        <v>15250.28</v>
      </c>
      <c r="J55">
        <v>28.81</v>
      </c>
      <c r="M55">
        <v>0</v>
      </c>
      <c r="N55">
        <v>4393.6099999999997</v>
      </c>
      <c r="O55" t="s">
        <v>21</v>
      </c>
      <c r="Q55" t="b">
        <v>0</v>
      </c>
      <c r="R55">
        <v>85.02</v>
      </c>
    </row>
    <row r="56" spans="1:18" hidden="1" x14ac:dyDescent="0.25">
      <c r="A56">
        <v>54</v>
      </c>
      <c r="B56" s="1">
        <v>45596</v>
      </c>
      <c r="D56" t="s">
        <v>17</v>
      </c>
      <c r="F56" t="s">
        <v>18</v>
      </c>
      <c r="G56" t="s">
        <v>19</v>
      </c>
      <c r="H56" t="s">
        <v>20</v>
      </c>
      <c r="I56">
        <v>164.67</v>
      </c>
      <c r="J56">
        <v>65.7881</v>
      </c>
      <c r="K56">
        <v>10833.33</v>
      </c>
      <c r="M56">
        <v>0</v>
      </c>
      <c r="N56">
        <v>10833.33</v>
      </c>
      <c r="O56" t="s">
        <v>21</v>
      </c>
      <c r="Q56" t="b">
        <v>0</v>
      </c>
      <c r="R56">
        <v>65.790000000000006</v>
      </c>
    </row>
    <row r="57" spans="1:18" hidden="1" x14ac:dyDescent="0.25">
      <c r="A57">
        <v>55</v>
      </c>
      <c r="B57" s="1">
        <v>45596</v>
      </c>
      <c r="D57" t="s">
        <v>17</v>
      </c>
      <c r="F57" t="s">
        <v>22</v>
      </c>
      <c r="G57">
        <v>9</v>
      </c>
      <c r="H57" t="s">
        <v>23</v>
      </c>
      <c r="I57">
        <v>10833.33</v>
      </c>
      <c r="J57">
        <v>11.5</v>
      </c>
      <c r="M57">
        <v>0</v>
      </c>
      <c r="N57" s="2">
        <v>1245.83</v>
      </c>
      <c r="O57" t="s">
        <v>21</v>
      </c>
      <c r="Q57" t="b">
        <v>0</v>
      </c>
      <c r="R57">
        <v>65.790000000000006</v>
      </c>
    </row>
    <row r="58" spans="1:18" hidden="1" x14ac:dyDescent="0.25">
      <c r="A58">
        <v>56</v>
      </c>
      <c r="B58" s="1">
        <v>45596</v>
      </c>
      <c r="D58" t="s">
        <v>17</v>
      </c>
      <c r="F58" t="s">
        <v>24</v>
      </c>
      <c r="G58" t="s">
        <v>25</v>
      </c>
      <c r="H58" t="s">
        <v>26</v>
      </c>
      <c r="I58">
        <v>8129.33</v>
      </c>
      <c r="J58">
        <v>1</v>
      </c>
      <c r="M58">
        <v>0</v>
      </c>
      <c r="O58" t="s">
        <v>21</v>
      </c>
      <c r="Q58" t="b">
        <v>0</v>
      </c>
      <c r="R58">
        <v>65.790000000000006</v>
      </c>
    </row>
    <row r="59" spans="1:18" hidden="1" x14ac:dyDescent="0.25">
      <c r="A59">
        <v>57</v>
      </c>
      <c r="B59" s="1">
        <v>45596</v>
      </c>
      <c r="D59" t="s">
        <v>17</v>
      </c>
      <c r="F59" t="s">
        <v>27</v>
      </c>
      <c r="G59" t="s">
        <v>28</v>
      </c>
      <c r="H59" t="s">
        <v>29</v>
      </c>
      <c r="I59">
        <v>10833.33</v>
      </c>
      <c r="J59">
        <v>24.96</v>
      </c>
      <c r="M59">
        <v>0</v>
      </c>
      <c r="N59">
        <v>2704</v>
      </c>
      <c r="O59" t="s">
        <v>21</v>
      </c>
      <c r="Q59" t="b">
        <v>0</v>
      </c>
      <c r="R59">
        <v>65.790000000000006</v>
      </c>
    </row>
    <row r="60" spans="1:18" hidden="1" x14ac:dyDescent="0.25">
      <c r="A60">
        <v>58</v>
      </c>
      <c r="B60" s="1">
        <v>45596</v>
      </c>
      <c r="D60" t="s">
        <v>30</v>
      </c>
      <c r="F60" t="s">
        <v>18</v>
      </c>
      <c r="G60" t="s">
        <v>19</v>
      </c>
      <c r="H60" t="s">
        <v>20</v>
      </c>
      <c r="I60">
        <v>164.67</v>
      </c>
      <c r="J60">
        <v>165.7355</v>
      </c>
      <c r="K60">
        <v>27291.67</v>
      </c>
      <c r="M60">
        <v>0</v>
      </c>
      <c r="N60">
        <v>27291.67</v>
      </c>
      <c r="O60" t="s">
        <v>21</v>
      </c>
      <c r="Q60" t="b">
        <v>0</v>
      </c>
      <c r="R60">
        <v>165.74</v>
      </c>
    </row>
    <row r="61" spans="1:18" hidden="1" x14ac:dyDescent="0.25">
      <c r="A61">
        <v>59</v>
      </c>
      <c r="B61" s="1">
        <v>45596</v>
      </c>
      <c r="D61" t="s">
        <v>30</v>
      </c>
      <c r="F61" t="s">
        <v>31</v>
      </c>
      <c r="G61" t="s">
        <v>32</v>
      </c>
      <c r="H61" t="s">
        <v>33</v>
      </c>
      <c r="I61">
        <v>1666.67</v>
      </c>
      <c r="J61">
        <v>1</v>
      </c>
      <c r="M61">
        <v>0</v>
      </c>
      <c r="N61">
        <f>I61</f>
        <v>1666.67</v>
      </c>
      <c r="O61" t="s">
        <v>21</v>
      </c>
      <c r="Q61" t="b">
        <v>0</v>
      </c>
      <c r="R61">
        <v>165.74</v>
      </c>
    </row>
    <row r="62" spans="1:18" hidden="1" x14ac:dyDescent="0.25">
      <c r="A62">
        <v>60</v>
      </c>
      <c r="B62" s="1">
        <v>45596</v>
      </c>
      <c r="D62" t="s">
        <v>30</v>
      </c>
      <c r="F62" t="s">
        <v>22</v>
      </c>
      <c r="G62">
        <v>9</v>
      </c>
      <c r="H62" t="s">
        <v>23</v>
      </c>
      <c r="I62">
        <v>28958.34</v>
      </c>
      <c r="J62">
        <v>11.5</v>
      </c>
      <c r="M62">
        <v>0</v>
      </c>
      <c r="N62" s="2">
        <v>3330.21</v>
      </c>
      <c r="O62" t="s">
        <v>21</v>
      </c>
      <c r="Q62" t="b">
        <v>0</v>
      </c>
      <c r="R62">
        <v>165.74</v>
      </c>
    </row>
    <row r="63" spans="1:18" hidden="1" x14ac:dyDescent="0.25">
      <c r="A63">
        <v>61</v>
      </c>
      <c r="B63" s="1">
        <v>45596</v>
      </c>
      <c r="D63" t="s">
        <v>30</v>
      </c>
      <c r="F63" t="s">
        <v>24</v>
      </c>
      <c r="G63" t="s">
        <v>34</v>
      </c>
      <c r="H63" t="s">
        <v>35</v>
      </c>
      <c r="I63">
        <v>18168.34</v>
      </c>
      <c r="J63">
        <v>1</v>
      </c>
      <c r="M63">
        <v>0</v>
      </c>
      <c r="O63" t="s">
        <v>21</v>
      </c>
      <c r="Q63" t="b">
        <v>0</v>
      </c>
      <c r="R63">
        <v>165.74</v>
      </c>
    </row>
    <row r="64" spans="1:18" hidden="1" x14ac:dyDescent="0.25">
      <c r="A64">
        <v>62</v>
      </c>
      <c r="B64" s="1">
        <v>45596</v>
      </c>
      <c r="D64" t="s">
        <v>30</v>
      </c>
      <c r="F64" t="s">
        <v>27</v>
      </c>
      <c r="G64" t="s">
        <v>28</v>
      </c>
      <c r="H64" t="s">
        <v>29</v>
      </c>
      <c r="I64">
        <v>28958.34</v>
      </c>
      <c r="J64">
        <v>37.26</v>
      </c>
      <c r="M64">
        <v>0</v>
      </c>
      <c r="N64">
        <v>10789.88</v>
      </c>
      <c r="O64" t="s">
        <v>21</v>
      </c>
      <c r="Q64" t="b">
        <v>0</v>
      </c>
      <c r="R64">
        <v>165.74</v>
      </c>
    </row>
    <row r="65" spans="1:18" hidden="1" x14ac:dyDescent="0.25">
      <c r="A65">
        <v>63</v>
      </c>
      <c r="B65" s="1">
        <v>45596</v>
      </c>
      <c r="D65" t="s">
        <v>36</v>
      </c>
      <c r="F65" t="s">
        <v>18</v>
      </c>
      <c r="G65" t="s">
        <v>19</v>
      </c>
      <c r="H65" t="s">
        <v>20</v>
      </c>
      <c r="I65">
        <v>157.07</v>
      </c>
      <c r="J65">
        <v>85.020200000000003</v>
      </c>
      <c r="K65">
        <v>13354.13</v>
      </c>
      <c r="M65">
        <v>0</v>
      </c>
      <c r="N65">
        <v>13354.13</v>
      </c>
      <c r="O65" t="s">
        <v>21</v>
      </c>
      <c r="Q65" t="b">
        <v>0</v>
      </c>
      <c r="R65">
        <v>85.02</v>
      </c>
    </row>
    <row r="66" spans="1:18" hidden="1" x14ac:dyDescent="0.25">
      <c r="A66">
        <v>64</v>
      </c>
      <c r="B66" s="1">
        <v>45596</v>
      </c>
      <c r="D66" t="s">
        <v>36</v>
      </c>
      <c r="F66" t="s">
        <v>31</v>
      </c>
      <c r="G66" t="s">
        <v>41</v>
      </c>
      <c r="H66" t="s">
        <v>42</v>
      </c>
      <c r="I66">
        <v>1833.33</v>
      </c>
      <c r="J66">
        <v>1</v>
      </c>
      <c r="M66">
        <v>0</v>
      </c>
      <c r="N66">
        <f>I66</f>
        <v>1833.33</v>
      </c>
      <c r="O66" t="s">
        <v>21</v>
      </c>
      <c r="Q66" t="b">
        <v>0</v>
      </c>
      <c r="R66">
        <v>85.02</v>
      </c>
    </row>
    <row r="67" spans="1:18" hidden="1" x14ac:dyDescent="0.25">
      <c r="A67">
        <v>65</v>
      </c>
      <c r="B67" s="1">
        <v>45596</v>
      </c>
      <c r="D67" t="s">
        <v>36</v>
      </c>
      <c r="F67" t="s">
        <v>22</v>
      </c>
      <c r="G67">
        <v>9</v>
      </c>
      <c r="H67" t="s">
        <v>23</v>
      </c>
      <c r="I67">
        <v>14000.28</v>
      </c>
      <c r="J67">
        <v>11.5</v>
      </c>
      <c r="M67">
        <v>0</v>
      </c>
      <c r="N67" s="2">
        <v>1610.03</v>
      </c>
      <c r="O67" t="s">
        <v>21</v>
      </c>
      <c r="Q67" t="b">
        <v>0</v>
      </c>
      <c r="R67">
        <v>85.02</v>
      </c>
    </row>
    <row r="68" spans="1:18" hidden="1" x14ac:dyDescent="0.25">
      <c r="A68">
        <v>66</v>
      </c>
      <c r="B68" s="1">
        <v>45596</v>
      </c>
      <c r="D68" t="s">
        <v>36</v>
      </c>
      <c r="F68" t="s">
        <v>43</v>
      </c>
      <c r="G68" t="s">
        <v>44</v>
      </c>
      <c r="H68" t="s">
        <v>45</v>
      </c>
      <c r="I68">
        <v>583.33000000000004</v>
      </c>
      <c r="J68">
        <v>1</v>
      </c>
      <c r="M68">
        <v>0</v>
      </c>
      <c r="N68">
        <v>583.33000000000004</v>
      </c>
      <c r="O68" t="s">
        <v>21</v>
      </c>
      <c r="Q68" t="b">
        <v>0</v>
      </c>
      <c r="R68">
        <v>85.02</v>
      </c>
    </row>
    <row r="69" spans="1:18" hidden="1" x14ac:dyDescent="0.25">
      <c r="A69">
        <v>67</v>
      </c>
      <c r="B69" s="1">
        <v>45596</v>
      </c>
      <c r="D69" t="s">
        <v>36</v>
      </c>
      <c r="F69" t="s">
        <v>18</v>
      </c>
      <c r="G69" t="s">
        <v>37</v>
      </c>
      <c r="H69" t="s">
        <v>53</v>
      </c>
      <c r="I69">
        <v>7.6</v>
      </c>
      <c r="J69">
        <v>85.020200000000003</v>
      </c>
      <c r="K69">
        <v>646.15</v>
      </c>
      <c r="M69">
        <v>0</v>
      </c>
      <c r="N69">
        <v>646.15</v>
      </c>
      <c r="O69" t="s">
        <v>21</v>
      </c>
      <c r="Q69" t="b">
        <v>0</v>
      </c>
      <c r="R69">
        <v>85.02</v>
      </c>
    </row>
    <row r="70" spans="1:18" hidden="1" x14ac:dyDescent="0.25">
      <c r="A70">
        <v>68</v>
      </c>
      <c r="B70" s="1">
        <v>45596</v>
      </c>
      <c r="D70" t="s">
        <v>36</v>
      </c>
      <c r="F70" t="s">
        <v>31</v>
      </c>
      <c r="G70" t="s">
        <v>39</v>
      </c>
      <c r="H70" t="s">
        <v>40</v>
      </c>
      <c r="I70">
        <v>7.6</v>
      </c>
      <c r="J70">
        <v>17.5</v>
      </c>
      <c r="M70">
        <v>0</v>
      </c>
      <c r="N70">
        <v>113.08</v>
      </c>
      <c r="O70" t="s">
        <v>21</v>
      </c>
      <c r="Q70" t="b">
        <v>0</v>
      </c>
      <c r="R70">
        <v>85.02</v>
      </c>
    </row>
    <row r="71" spans="1:18" hidden="1" x14ac:dyDescent="0.25">
      <c r="A71">
        <v>69</v>
      </c>
      <c r="B71" s="1">
        <v>45596</v>
      </c>
      <c r="D71" t="s">
        <v>36</v>
      </c>
      <c r="F71" t="s">
        <v>24</v>
      </c>
      <c r="G71" t="s">
        <v>46</v>
      </c>
      <c r="H71" t="s">
        <v>47</v>
      </c>
      <c r="I71">
        <v>1833.33</v>
      </c>
      <c r="J71">
        <v>1</v>
      </c>
      <c r="M71">
        <v>0</v>
      </c>
      <c r="O71" t="s">
        <v>21</v>
      </c>
      <c r="Q71" t="b">
        <v>0</v>
      </c>
      <c r="R71">
        <v>85.02</v>
      </c>
    </row>
    <row r="72" spans="1:18" hidden="1" x14ac:dyDescent="0.25">
      <c r="A72">
        <v>70</v>
      </c>
      <c r="B72" s="1">
        <v>45596</v>
      </c>
      <c r="D72" t="s">
        <v>36</v>
      </c>
      <c r="F72" t="s">
        <v>24</v>
      </c>
      <c r="G72" t="s">
        <v>48</v>
      </c>
      <c r="H72" t="s">
        <v>36</v>
      </c>
      <c r="I72">
        <v>9088.0300000000007</v>
      </c>
      <c r="J72">
        <v>1</v>
      </c>
      <c r="M72">
        <v>0</v>
      </c>
      <c r="O72" t="s">
        <v>21</v>
      </c>
      <c r="Q72" t="b">
        <v>0</v>
      </c>
      <c r="R72">
        <v>85.02</v>
      </c>
    </row>
    <row r="73" spans="1:18" hidden="1" x14ac:dyDescent="0.25">
      <c r="A73">
        <v>71</v>
      </c>
      <c r="B73" s="1">
        <v>45596</v>
      </c>
      <c r="D73" t="s">
        <v>36</v>
      </c>
      <c r="F73" t="s">
        <v>27</v>
      </c>
      <c r="G73" t="s">
        <v>28</v>
      </c>
      <c r="H73" t="s">
        <v>29</v>
      </c>
      <c r="I73">
        <v>15363.36</v>
      </c>
      <c r="J73">
        <v>28.91</v>
      </c>
      <c r="M73">
        <v>0</v>
      </c>
      <c r="N73">
        <v>4441.55</v>
      </c>
      <c r="O73" t="s">
        <v>21</v>
      </c>
      <c r="Q73" t="b">
        <v>0</v>
      </c>
      <c r="R73">
        <v>85.02</v>
      </c>
    </row>
    <row r="74" spans="1:18" hidden="1" x14ac:dyDescent="0.25">
      <c r="A74">
        <v>72</v>
      </c>
      <c r="B74" s="1">
        <v>45626</v>
      </c>
      <c r="D74" t="s">
        <v>17</v>
      </c>
      <c r="F74" t="s">
        <v>18</v>
      </c>
      <c r="G74" t="s">
        <v>19</v>
      </c>
      <c r="H74" t="s">
        <v>20</v>
      </c>
      <c r="I74">
        <v>164.67</v>
      </c>
      <c r="J74">
        <v>65.7881</v>
      </c>
      <c r="K74">
        <v>10833.33</v>
      </c>
      <c r="M74">
        <v>0</v>
      </c>
      <c r="N74">
        <v>10833.33</v>
      </c>
      <c r="O74" t="s">
        <v>21</v>
      </c>
      <c r="Q74" t="b">
        <v>0</v>
      </c>
      <c r="R74">
        <v>65.790000000000006</v>
      </c>
    </row>
    <row r="75" spans="1:18" hidden="1" x14ac:dyDescent="0.25">
      <c r="A75">
        <v>73</v>
      </c>
      <c r="B75" s="1">
        <v>45626</v>
      </c>
      <c r="D75" t="s">
        <v>17</v>
      </c>
      <c r="F75" t="s">
        <v>22</v>
      </c>
      <c r="G75">
        <v>9</v>
      </c>
      <c r="H75" t="s">
        <v>23</v>
      </c>
      <c r="I75">
        <v>10833.33</v>
      </c>
      <c r="J75">
        <v>11.5</v>
      </c>
      <c r="M75">
        <v>0</v>
      </c>
      <c r="N75" s="2">
        <v>1245.83</v>
      </c>
      <c r="O75" t="s">
        <v>21</v>
      </c>
      <c r="Q75" t="b">
        <v>0</v>
      </c>
      <c r="R75">
        <v>65.790000000000006</v>
      </c>
    </row>
    <row r="76" spans="1:18" hidden="1" x14ac:dyDescent="0.25">
      <c r="A76">
        <v>74</v>
      </c>
      <c r="B76" s="1">
        <v>45626</v>
      </c>
      <c r="D76" t="s">
        <v>17</v>
      </c>
      <c r="F76" t="s">
        <v>24</v>
      </c>
      <c r="G76" t="s">
        <v>25</v>
      </c>
      <c r="H76" t="s">
        <v>26</v>
      </c>
      <c r="I76">
        <v>8129.33</v>
      </c>
      <c r="J76">
        <v>1</v>
      </c>
      <c r="M76">
        <v>0</v>
      </c>
      <c r="O76" t="s">
        <v>21</v>
      </c>
      <c r="Q76" t="b">
        <v>0</v>
      </c>
      <c r="R76">
        <v>65.790000000000006</v>
      </c>
    </row>
    <row r="77" spans="1:18" hidden="1" x14ac:dyDescent="0.25">
      <c r="A77">
        <v>75</v>
      </c>
      <c r="B77" s="1">
        <v>45626</v>
      </c>
      <c r="D77" t="s">
        <v>17</v>
      </c>
      <c r="F77" t="s">
        <v>27</v>
      </c>
      <c r="G77" t="s">
        <v>28</v>
      </c>
      <c r="H77" t="s">
        <v>29</v>
      </c>
      <c r="I77">
        <v>10833.33</v>
      </c>
      <c r="J77">
        <v>24.96</v>
      </c>
      <c r="M77">
        <v>0</v>
      </c>
      <c r="N77">
        <v>2704</v>
      </c>
      <c r="O77" t="s">
        <v>21</v>
      </c>
      <c r="Q77" t="b">
        <v>0</v>
      </c>
      <c r="R77">
        <v>65.790000000000006</v>
      </c>
    </row>
    <row r="78" spans="1:18" hidden="1" x14ac:dyDescent="0.25">
      <c r="A78">
        <v>76</v>
      </c>
      <c r="B78" s="1">
        <v>45626</v>
      </c>
      <c r="D78" t="s">
        <v>17</v>
      </c>
      <c r="F78" t="s">
        <v>18</v>
      </c>
      <c r="G78" t="s">
        <v>54</v>
      </c>
      <c r="H78" t="s">
        <v>55</v>
      </c>
      <c r="I78">
        <v>414.24459999999999</v>
      </c>
      <c r="J78">
        <v>65.7881</v>
      </c>
      <c r="K78">
        <v>27252.37</v>
      </c>
      <c r="M78">
        <v>0</v>
      </c>
      <c r="N78">
        <v>27252.37</v>
      </c>
      <c r="O78" t="s">
        <v>21</v>
      </c>
      <c r="Q78" t="b">
        <v>1</v>
      </c>
      <c r="R78">
        <v>65.790000000000006</v>
      </c>
    </row>
    <row r="79" spans="1:18" x14ac:dyDescent="0.25">
      <c r="A79">
        <v>77</v>
      </c>
      <c r="B79" s="1">
        <v>45626</v>
      </c>
      <c r="D79" t="s">
        <v>17</v>
      </c>
      <c r="F79" t="s">
        <v>18</v>
      </c>
      <c r="G79" t="s">
        <v>56</v>
      </c>
      <c r="H79" t="s">
        <v>57</v>
      </c>
      <c r="I79">
        <v>726.68470000000002</v>
      </c>
      <c r="J79">
        <v>65.7881</v>
      </c>
      <c r="K79">
        <v>47807.22</v>
      </c>
      <c r="M79">
        <v>0</v>
      </c>
      <c r="N79">
        <v>47807.22</v>
      </c>
      <c r="O79" t="s">
        <v>21</v>
      </c>
      <c r="Q79" t="b">
        <v>1</v>
      </c>
      <c r="R79">
        <v>65.790000000000006</v>
      </c>
    </row>
    <row r="80" spans="1:18" hidden="1" x14ac:dyDescent="0.25">
      <c r="A80">
        <v>78</v>
      </c>
      <c r="B80" s="1">
        <v>45626</v>
      </c>
      <c r="D80" t="s">
        <v>17</v>
      </c>
      <c r="F80" t="s">
        <v>31</v>
      </c>
      <c r="G80" t="s">
        <v>58</v>
      </c>
      <c r="H80" t="s">
        <v>59</v>
      </c>
      <c r="I80">
        <v>726.68470000000002</v>
      </c>
      <c r="J80">
        <v>17.5</v>
      </c>
      <c r="M80">
        <v>0</v>
      </c>
      <c r="O80" t="s">
        <v>21</v>
      </c>
      <c r="Q80" t="b">
        <v>1</v>
      </c>
      <c r="R80">
        <v>65.790000000000006</v>
      </c>
    </row>
    <row r="81" spans="1:18" hidden="1" x14ac:dyDescent="0.25">
      <c r="A81">
        <v>79</v>
      </c>
      <c r="B81" s="1">
        <v>45626</v>
      </c>
      <c r="D81" t="s">
        <v>17</v>
      </c>
      <c r="F81" t="s">
        <v>24</v>
      </c>
      <c r="G81" t="s">
        <v>25</v>
      </c>
      <c r="H81" t="s">
        <v>26</v>
      </c>
      <c r="I81">
        <v>56730.85</v>
      </c>
      <c r="J81">
        <v>1</v>
      </c>
      <c r="M81">
        <v>0</v>
      </c>
      <c r="O81" t="s">
        <v>21</v>
      </c>
      <c r="Q81" t="b">
        <v>1</v>
      </c>
      <c r="R81">
        <v>65.790000000000006</v>
      </c>
    </row>
    <row r="82" spans="1:18" hidden="1" x14ac:dyDescent="0.25">
      <c r="A82">
        <v>80</v>
      </c>
      <c r="B82" s="1">
        <v>45626</v>
      </c>
      <c r="D82" t="s">
        <v>17</v>
      </c>
      <c r="F82" t="s">
        <v>27</v>
      </c>
      <c r="G82" t="s">
        <v>28</v>
      </c>
      <c r="H82" t="s">
        <v>29</v>
      </c>
      <c r="I82">
        <v>83425.850000000006</v>
      </c>
      <c r="J82">
        <v>32</v>
      </c>
      <c r="M82">
        <v>0</v>
      </c>
      <c r="N82">
        <v>26696.27</v>
      </c>
      <c r="O82" t="s">
        <v>21</v>
      </c>
      <c r="Q82" t="b">
        <v>1</v>
      </c>
      <c r="R82">
        <v>65.790000000000006</v>
      </c>
    </row>
    <row r="83" spans="1:18" hidden="1" x14ac:dyDescent="0.25">
      <c r="A83">
        <v>81</v>
      </c>
      <c r="B83" s="1">
        <v>45626</v>
      </c>
      <c r="D83" t="s">
        <v>30</v>
      </c>
      <c r="F83" t="s">
        <v>18</v>
      </c>
      <c r="G83" t="s">
        <v>19</v>
      </c>
      <c r="H83" t="s">
        <v>20</v>
      </c>
      <c r="I83">
        <v>164.67</v>
      </c>
      <c r="J83">
        <v>165.7355</v>
      </c>
      <c r="K83">
        <v>27291.67</v>
      </c>
      <c r="M83">
        <v>0</v>
      </c>
      <c r="N83">
        <v>27291.67</v>
      </c>
      <c r="O83" t="s">
        <v>21</v>
      </c>
      <c r="Q83" t="b">
        <v>0</v>
      </c>
      <c r="R83">
        <v>165.74</v>
      </c>
    </row>
    <row r="84" spans="1:18" hidden="1" x14ac:dyDescent="0.25">
      <c r="A84">
        <v>82</v>
      </c>
      <c r="B84" s="1">
        <v>45626</v>
      </c>
      <c r="D84" t="s">
        <v>30</v>
      </c>
      <c r="F84" t="s">
        <v>31</v>
      </c>
      <c r="G84" t="s">
        <v>32</v>
      </c>
      <c r="H84" t="s">
        <v>33</v>
      </c>
      <c r="I84">
        <v>1666.67</v>
      </c>
      <c r="J84">
        <v>1</v>
      </c>
      <c r="M84">
        <v>0</v>
      </c>
      <c r="N84">
        <f>I84</f>
        <v>1666.67</v>
      </c>
      <c r="O84" t="s">
        <v>21</v>
      </c>
      <c r="Q84" t="b">
        <v>0</v>
      </c>
      <c r="R84">
        <v>165.74</v>
      </c>
    </row>
    <row r="85" spans="1:18" hidden="1" x14ac:dyDescent="0.25">
      <c r="A85">
        <v>83</v>
      </c>
      <c r="B85" s="1">
        <v>45626</v>
      </c>
      <c r="D85" t="s">
        <v>30</v>
      </c>
      <c r="F85" t="s">
        <v>22</v>
      </c>
      <c r="G85">
        <v>9</v>
      </c>
      <c r="H85" t="s">
        <v>23</v>
      </c>
      <c r="I85">
        <v>28958.34</v>
      </c>
      <c r="J85">
        <v>11.5</v>
      </c>
      <c r="M85">
        <v>0</v>
      </c>
      <c r="N85" s="2">
        <v>3330.21</v>
      </c>
      <c r="O85" t="s">
        <v>21</v>
      </c>
      <c r="Q85" t="b">
        <v>0</v>
      </c>
      <c r="R85">
        <v>165.74</v>
      </c>
    </row>
    <row r="86" spans="1:18" hidden="1" x14ac:dyDescent="0.25">
      <c r="A86">
        <v>84</v>
      </c>
      <c r="B86" s="1">
        <v>45626</v>
      </c>
      <c r="D86" t="s">
        <v>30</v>
      </c>
      <c r="F86" t="s">
        <v>24</v>
      </c>
      <c r="G86" t="s">
        <v>34</v>
      </c>
      <c r="H86" t="s">
        <v>35</v>
      </c>
      <c r="I86">
        <v>18168.34</v>
      </c>
      <c r="J86">
        <v>1</v>
      </c>
      <c r="M86">
        <v>0</v>
      </c>
      <c r="O86" t="s">
        <v>21</v>
      </c>
      <c r="Q86" t="b">
        <v>0</v>
      </c>
      <c r="R86">
        <v>165.74</v>
      </c>
    </row>
    <row r="87" spans="1:18" hidden="1" x14ac:dyDescent="0.25">
      <c r="A87">
        <v>85</v>
      </c>
      <c r="B87" s="1">
        <v>45626</v>
      </c>
      <c r="D87" t="s">
        <v>30</v>
      </c>
      <c r="F87" t="s">
        <v>27</v>
      </c>
      <c r="G87" t="s">
        <v>28</v>
      </c>
      <c r="H87" t="s">
        <v>29</v>
      </c>
      <c r="I87">
        <v>28958.34</v>
      </c>
      <c r="J87">
        <v>37.26</v>
      </c>
      <c r="M87">
        <v>0</v>
      </c>
      <c r="N87">
        <v>10789.88</v>
      </c>
      <c r="O87" t="s">
        <v>21</v>
      </c>
      <c r="Q87" t="b">
        <v>0</v>
      </c>
      <c r="R87">
        <v>165.74</v>
      </c>
    </row>
    <row r="88" spans="1:18" hidden="1" x14ac:dyDescent="0.25">
      <c r="A88">
        <v>86</v>
      </c>
      <c r="B88" s="1">
        <v>45626</v>
      </c>
      <c r="D88" t="s">
        <v>36</v>
      </c>
      <c r="F88" t="s">
        <v>18</v>
      </c>
      <c r="G88" t="s">
        <v>19</v>
      </c>
      <c r="H88" t="s">
        <v>20</v>
      </c>
      <c r="I88">
        <v>134.27000000000001</v>
      </c>
      <c r="J88">
        <v>85.020200000000003</v>
      </c>
      <c r="K88">
        <v>11415.67</v>
      </c>
      <c r="M88">
        <v>0</v>
      </c>
      <c r="N88">
        <v>11415.67</v>
      </c>
      <c r="O88" t="s">
        <v>21</v>
      </c>
      <c r="Q88" t="b">
        <v>0</v>
      </c>
      <c r="R88">
        <v>85.02</v>
      </c>
    </row>
    <row r="89" spans="1:18" hidden="1" x14ac:dyDescent="0.25">
      <c r="A89">
        <v>87</v>
      </c>
      <c r="B89" s="1">
        <v>45626</v>
      </c>
      <c r="D89" t="s">
        <v>36</v>
      </c>
      <c r="F89" t="s">
        <v>18</v>
      </c>
      <c r="G89" t="s">
        <v>37</v>
      </c>
      <c r="H89" t="s">
        <v>38</v>
      </c>
      <c r="I89">
        <v>30.4</v>
      </c>
      <c r="J89">
        <v>85.020200000000003</v>
      </c>
      <c r="K89">
        <v>2584.61</v>
      </c>
      <c r="M89">
        <v>0</v>
      </c>
      <c r="N89">
        <v>2584.61</v>
      </c>
      <c r="O89" t="s">
        <v>21</v>
      </c>
      <c r="Q89" t="b">
        <v>0</v>
      </c>
      <c r="R89">
        <v>85.02</v>
      </c>
    </row>
    <row r="90" spans="1:18" hidden="1" x14ac:dyDescent="0.25">
      <c r="A90">
        <v>88</v>
      </c>
      <c r="B90" s="1">
        <v>45626</v>
      </c>
      <c r="D90" t="s">
        <v>36</v>
      </c>
      <c r="F90" t="s">
        <v>31</v>
      </c>
      <c r="G90" t="s">
        <v>39</v>
      </c>
      <c r="H90" t="s">
        <v>40</v>
      </c>
      <c r="I90">
        <v>30.4</v>
      </c>
      <c r="J90">
        <v>17.5</v>
      </c>
      <c r="M90">
        <v>0</v>
      </c>
      <c r="N90">
        <v>452.31</v>
      </c>
      <c r="O90" t="s">
        <v>21</v>
      </c>
      <c r="Q90" t="b">
        <v>0</v>
      </c>
      <c r="R90">
        <v>85.02</v>
      </c>
    </row>
    <row r="91" spans="1:18" hidden="1" x14ac:dyDescent="0.25">
      <c r="A91">
        <v>89</v>
      </c>
      <c r="B91" s="1">
        <v>45626</v>
      </c>
      <c r="D91" t="s">
        <v>36</v>
      </c>
      <c r="F91" t="s">
        <v>31</v>
      </c>
      <c r="G91" t="s">
        <v>41</v>
      </c>
      <c r="H91" t="s">
        <v>42</v>
      </c>
      <c r="I91">
        <v>1833.33</v>
      </c>
      <c r="J91">
        <v>1</v>
      </c>
      <c r="M91">
        <v>0</v>
      </c>
      <c r="N91">
        <f>I91</f>
        <v>1833.33</v>
      </c>
      <c r="O91" t="s">
        <v>21</v>
      </c>
      <c r="Q91" t="b">
        <v>0</v>
      </c>
      <c r="R91">
        <v>85.02</v>
      </c>
    </row>
    <row r="92" spans="1:18" hidden="1" x14ac:dyDescent="0.25">
      <c r="A92">
        <v>90</v>
      </c>
      <c r="B92" s="1">
        <v>45626</v>
      </c>
      <c r="D92" t="s">
        <v>36</v>
      </c>
      <c r="F92" t="s">
        <v>22</v>
      </c>
      <c r="G92">
        <v>9</v>
      </c>
      <c r="H92" t="s">
        <v>23</v>
      </c>
      <c r="I92">
        <v>14000.28</v>
      </c>
      <c r="J92">
        <v>11.5</v>
      </c>
      <c r="M92">
        <v>0</v>
      </c>
      <c r="N92" s="2">
        <v>1610.03</v>
      </c>
      <c r="O92" t="s">
        <v>21</v>
      </c>
      <c r="Q92" t="b">
        <v>0</v>
      </c>
      <c r="R92">
        <v>85.02</v>
      </c>
    </row>
    <row r="93" spans="1:18" hidden="1" x14ac:dyDescent="0.25">
      <c r="A93">
        <v>91</v>
      </c>
      <c r="B93" s="1">
        <v>45626</v>
      </c>
      <c r="D93" t="s">
        <v>36</v>
      </c>
      <c r="F93" t="s">
        <v>43</v>
      </c>
      <c r="G93" t="s">
        <v>44</v>
      </c>
      <c r="H93" t="s">
        <v>45</v>
      </c>
      <c r="I93">
        <v>583.33000000000004</v>
      </c>
      <c r="J93">
        <v>1</v>
      </c>
      <c r="M93">
        <v>0</v>
      </c>
      <c r="N93">
        <v>583.33000000000004</v>
      </c>
      <c r="O93" t="s">
        <v>21</v>
      </c>
      <c r="Q93" t="b">
        <v>0</v>
      </c>
      <c r="R93">
        <v>85.02</v>
      </c>
    </row>
    <row r="94" spans="1:18" hidden="1" x14ac:dyDescent="0.25">
      <c r="A94">
        <v>92</v>
      </c>
      <c r="B94" s="1">
        <v>45626</v>
      </c>
      <c r="D94" t="s">
        <v>36</v>
      </c>
      <c r="F94" t="s">
        <v>24</v>
      </c>
      <c r="G94" t="s">
        <v>46</v>
      </c>
      <c r="H94" t="s">
        <v>47</v>
      </c>
      <c r="I94">
        <v>1833.33</v>
      </c>
      <c r="J94">
        <v>1</v>
      </c>
      <c r="M94">
        <v>0</v>
      </c>
      <c r="O94" t="s">
        <v>21</v>
      </c>
      <c r="Q94" t="b">
        <v>0</v>
      </c>
      <c r="R94">
        <v>85.02</v>
      </c>
    </row>
    <row r="95" spans="1:18" hidden="1" x14ac:dyDescent="0.25">
      <c r="A95">
        <v>93</v>
      </c>
      <c r="B95" s="1">
        <v>45626</v>
      </c>
      <c r="D95" t="s">
        <v>36</v>
      </c>
      <c r="F95" t="s">
        <v>24</v>
      </c>
      <c r="G95" t="s">
        <v>48</v>
      </c>
      <c r="H95" t="s">
        <v>36</v>
      </c>
      <c r="I95">
        <v>9297.26</v>
      </c>
      <c r="J95">
        <v>1</v>
      </c>
      <c r="M95">
        <v>0</v>
      </c>
      <c r="O95" t="s">
        <v>21</v>
      </c>
      <c r="Q95" t="b">
        <v>0</v>
      </c>
      <c r="R95">
        <v>85.02</v>
      </c>
    </row>
    <row r="96" spans="1:18" hidden="1" x14ac:dyDescent="0.25">
      <c r="A96">
        <v>94</v>
      </c>
      <c r="B96" s="1">
        <v>45626</v>
      </c>
      <c r="D96" t="s">
        <v>36</v>
      </c>
      <c r="F96" t="s">
        <v>27</v>
      </c>
      <c r="G96" t="s">
        <v>28</v>
      </c>
      <c r="H96" t="s">
        <v>29</v>
      </c>
      <c r="I96">
        <v>15702.59</v>
      </c>
      <c r="J96">
        <v>29.12</v>
      </c>
      <c r="M96">
        <v>0</v>
      </c>
      <c r="N96">
        <v>4572.59</v>
      </c>
      <c r="O96" t="s">
        <v>21</v>
      </c>
      <c r="Q96" t="b">
        <v>0</v>
      </c>
      <c r="R96">
        <v>85.02</v>
      </c>
    </row>
    <row r="97" spans="1:18" hidden="1" x14ac:dyDescent="0.25">
      <c r="A97">
        <v>95</v>
      </c>
      <c r="B97" s="1">
        <v>45657</v>
      </c>
      <c r="D97" t="s">
        <v>30</v>
      </c>
      <c r="F97" t="s">
        <v>18</v>
      </c>
      <c r="G97" t="s">
        <v>19</v>
      </c>
      <c r="H97" t="s">
        <v>20</v>
      </c>
      <c r="I97">
        <v>149.47</v>
      </c>
      <c r="J97">
        <v>165.7355</v>
      </c>
      <c r="K97">
        <v>24772.49</v>
      </c>
      <c r="M97">
        <v>0</v>
      </c>
      <c r="N97">
        <v>24772.49</v>
      </c>
      <c r="O97" t="s">
        <v>21</v>
      </c>
      <c r="Q97" t="b">
        <v>0</v>
      </c>
      <c r="R97">
        <v>165.74</v>
      </c>
    </row>
    <row r="98" spans="1:18" hidden="1" x14ac:dyDescent="0.25">
      <c r="A98">
        <v>96</v>
      </c>
      <c r="B98" s="1">
        <v>45657</v>
      </c>
      <c r="D98" t="s">
        <v>30</v>
      </c>
      <c r="F98" t="s">
        <v>18</v>
      </c>
      <c r="G98" t="s">
        <v>49</v>
      </c>
      <c r="H98" t="s">
        <v>50</v>
      </c>
      <c r="I98">
        <v>15.2</v>
      </c>
      <c r="J98">
        <v>165.7355</v>
      </c>
      <c r="K98">
        <v>2519.1799999999998</v>
      </c>
      <c r="M98">
        <v>0</v>
      </c>
      <c r="N98">
        <v>2519.1799999999998</v>
      </c>
      <c r="O98" t="s">
        <v>21</v>
      </c>
      <c r="Q98" t="b">
        <v>0</v>
      </c>
      <c r="R98">
        <v>165.74</v>
      </c>
    </row>
    <row r="99" spans="1:18" hidden="1" x14ac:dyDescent="0.25">
      <c r="A99">
        <v>97</v>
      </c>
      <c r="B99" s="1">
        <v>45657</v>
      </c>
      <c r="D99" t="s">
        <v>30</v>
      </c>
      <c r="F99" t="s">
        <v>31</v>
      </c>
      <c r="G99" t="s">
        <v>32</v>
      </c>
      <c r="H99" t="s">
        <v>33</v>
      </c>
      <c r="I99">
        <v>1666.67</v>
      </c>
      <c r="J99">
        <v>1</v>
      </c>
      <c r="M99">
        <v>0</v>
      </c>
      <c r="N99">
        <f>I99</f>
        <v>1666.67</v>
      </c>
      <c r="O99" t="s">
        <v>21</v>
      </c>
      <c r="Q99" t="b">
        <v>0</v>
      </c>
      <c r="R99">
        <v>165.74</v>
      </c>
    </row>
    <row r="100" spans="1:18" hidden="1" x14ac:dyDescent="0.25">
      <c r="A100">
        <v>98</v>
      </c>
      <c r="B100" s="1">
        <v>45657</v>
      </c>
      <c r="D100" t="s">
        <v>30</v>
      </c>
      <c r="F100" t="s">
        <v>22</v>
      </c>
      <c r="G100">
        <v>9</v>
      </c>
      <c r="H100" t="s">
        <v>23</v>
      </c>
      <c r="I100">
        <v>28958.34</v>
      </c>
      <c r="J100">
        <v>11.5</v>
      </c>
      <c r="M100">
        <v>0</v>
      </c>
      <c r="N100" s="2">
        <v>3330.21</v>
      </c>
      <c r="O100" t="s">
        <v>21</v>
      </c>
      <c r="Q100" t="b">
        <v>0</v>
      </c>
      <c r="R100">
        <v>165.74</v>
      </c>
    </row>
    <row r="101" spans="1:18" hidden="1" x14ac:dyDescent="0.25">
      <c r="A101">
        <v>99</v>
      </c>
      <c r="B101" s="1">
        <v>45657</v>
      </c>
      <c r="D101" t="s">
        <v>30</v>
      </c>
      <c r="F101" t="s">
        <v>24</v>
      </c>
      <c r="G101" t="s">
        <v>34</v>
      </c>
      <c r="H101" t="s">
        <v>35</v>
      </c>
      <c r="I101">
        <v>18168.34</v>
      </c>
      <c r="J101">
        <v>1</v>
      </c>
      <c r="M101">
        <v>0</v>
      </c>
      <c r="O101" t="s">
        <v>21</v>
      </c>
      <c r="Q101" t="b">
        <v>0</v>
      </c>
      <c r="R101">
        <v>165.74</v>
      </c>
    </row>
    <row r="102" spans="1:18" hidden="1" x14ac:dyDescent="0.25">
      <c r="A102">
        <v>100</v>
      </c>
      <c r="B102" s="1">
        <v>45657</v>
      </c>
      <c r="D102" t="s">
        <v>30</v>
      </c>
      <c r="F102" t="s">
        <v>27</v>
      </c>
      <c r="G102" t="s">
        <v>28</v>
      </c>
      <c r="H102" t="s">
        <v>29</v>
      </c>
      <c r="I102">
        <v>28958.34</v>
      </c>
      <c r="J102">
        <v>37.26</v>
      </c>
      <c r="M102">
        <v>0</v>
      </c>
      <c r="N102">
        <v>10789.88</v>
      </c>
      <c r="O102" t="s">
        <v>21</v>
      </c>
      <c r="Q102" t="b">
        <v>0</v>
      </c>
      <c r="R102">
        <v>165.74</v>
      </c>
    </row>
    <row r="103" spans="1:18" hidden="1" x14ac:dyDescent="0.25">
      <c r="A103">
        <v>101</v>
      </c>
      <c r="B103" s="1">
        <v>45657</v>
      </c>
      <c r="D103" t="s">
        <v>36</v>
      </c>
      <c r="F103" t="s">
        <v>18</v>
      </c>
      <c r="G103" t="s">
        <v>19</v>
      </c>
      <c r="H103" t="s">
        <v>20</v>
      </c>
      <c r="I103">
        <v>111.47</v>
      </c>
      <c r="J103">
        <v>85.020200000000003</v>
      </c>
      <c r="K103">
        <v>9477.2099999999991</v>
      </c>
      <c r="M103">
        <v>0</v>
      </c>
      <c r="N103">
        <v>9477.2099999999991</v>
      </c>
      <c r="O103" t="s">
        <v>21</v>
      </c>
      <c r="Q103" t="b">
        <v>0</v>
      </c>
      <c r="R103">
        <v>85.02</v>
      </c>
    </row>
    <row r="104" spans="1:18" hidden="1" x14ac:dyDescent="0.25">
      <c r="A104">
        <v>102</v>
      </c>
      <c r="B104" s="1">
        <v>45657</v>
      </c>
      <c r="D104" t="s">
        <v>36</v>
      </c>
      <c r="F104" t="s">
        <v>18</v>
      </c>
      <c r="G104" t="s">
        <v>37</v>
      </c>
      <c r="H104" t="s">
        <v>38</v>
      </c>
      <c r="I104">
        <v>38</v>
      </c>
      <c r="J104">
        <v>85.020200000000003</v>
      </c>
      <c r="K104">
        <v>3230.77</v>
      </c>
      <c r="M104">
        <v>0</v>
      </c>
      <c r="N104">
        <v>3230.77</v>
      </c>
      <c r="O104" t="s">
        <v>21</v>
      </c>
      <c r="Q104" t="b">
        <v>0</v>
      </c>
      <c r="R104">
        <v>85.02</v>
      </c>
    </row>
    <row r="105" spans="1:18" hidden="1" x14ac:dyDescent="0.25">
      <c r="A105">
        <v>103</v>
      </c>
      <c r="B105" s="1">
        <v>45657</v>
      </c>
      <c r="D105" t="s">
        <v>36</v>
      </c>
      <c r="F105" t="s">
        <v>31</v>
      </c>
      <c r="G105" t="s">
        <v>39</v>
      </c>
      <c r="H105" t="s">
        <v>40</v>
      </c>
      <c r="I105">
        <v>38</v>
      </c>
      <c r="J105">
        <v>17.5</v>
      </c>
      <c r="M105">
        <v>0</v>
      </c>
      <c r="N105">
        <v>565.38</v>
      </c>
      <c r="O105" t="s">
        <v>21</v>
      </c>
      <c r="Q105" t="b">
        <v>0</v>
      </c>
      <c r="R105">
        <v>85.02</v>
      </c>
    </row>
    <row r="106" spans="1:18" hidden="1" x14ac:dyDescent="0.25">
      <c r="A106">
        <v>104</v>
      </c>
      <c r="B106" s="1">
        <v>45657</v>
      </c>
      <c r="D106" t="s">
        <v>36</v>
      </c>
      <c r="F106" t="s">
        <v>18</v>
      </c>
      <c r="G106" t="s">
        <v>49</v>
      </c>
      <c r="H106" t="s">
        <v>50</v>
      </c>
      <c r="I106">
        <v>15.2</v>
      </c>
      <c r="J106">
        <v>85.020200000000003</v>
      </c>
      <c r="K106">
        <v>1292.31</v>
      </c>
      <c r="M106">
        <v>0</v>
      </c>
      <c r="N106">
        <v>1292.31</v>
      </c>
      <c r="O106" t="s">
        <v>21</v>
      </c>
      <c r="Q106" t="b">
        <v>0</v>
      </c>
      <c r="R106">
        <v>85.02</v>
      </c>
    </row>
    <row r="107" spans="1:18" hidden="1" x14ac:dyDescent="0.25">
      <c r="A107">
        <v>105</v>
      </c>
      <c r="B107" s="1">
        <v>45657</v>
      </c>
      <c r="D107" t="s">
        <v>36</v>
      </c>
      <c r="F107" t="s">
        <v>31</v>
      </c>
      <c r="G107" t="s">
        <v>41</v>
      </c>
      <c r="H107" t="s">
        <v>42</v>
      </c>
      <c r="I107">
        <v>1833.33</v>
      </c>
      <c r="J107">
        <v>1</v>
      </c>
      <c r="M107">
        <v>0</v>
      </c>
      <c r="N107">
        <f>I107</f>
        <v>1833.33</v>
      </c>
      <c r="O107" t="s">
        <v>21</v>
      </c>
      <c r="Q107" t="b">
        <v>0</v>
      </c>
      <c r="R107">
        <v>85.02</v>
      </c>
    </row>
    <row r="108" spans="1:18" hidden="1" x14ac:dyDescent="0.25">
      <c r="A108">
        <v>106</v>
      </c>
      <c r="B108" s="1">
        <v>45657</v>
      </c>
      <c r="D108" t="s">
        <v>36</v>
      </c>
      <c r="F108" t="s">
        <v>22</v>
      </c>
      <c r="G108">
        <v>9</v>
      </c>
      <c r="H108" t="s">
        <v>23</v>
      </c>
      <c r="I108">
        <v>14000.29</v>
      </c>
      <c r="J108">
        <v>11.5</v>
      </c>
      <c r="M108">
        <v>0</v>
      </c>
      <c r="N108" s="2">
        <v>1610.03</v>
      </c>
      <c r="O108" t="s">
        <v>21</v>
      </c>
      <c r="Q108" t="b">
        <v>0</v>
      </c>
      <c r="R108">
        <v>85.02</v>
      </c>
    </row>
    <row r="109" spans="1:18" hidden="1" x14ac:dyDescent="0.25">
      <c r="A109">
        <v>107</v>
      </c>
      <c r="B109" s="1">
        <v>45657</v>
      </c>
      <c r="D109" t="s">
        <v>36</v>
      </c>
      <c r="F109" t="s">
        <v>43</v>
      </c>
      <c r="G109" t="s">
        <v>44</v>
      </c>
      <c r="H109" t="s">
        <v>45</v>
      </c>
      <c r="I109">
        <v>583.33000000000004</v>
      </c>
      <c r="J109">
        <v>1</v>
      </c>
      <c r="M109">
        <v>0</v>
      </c>
      <c r="N109">
        <v>583.33000000000004</v>
      </c>
      <c r="O109" t="s">
        <v>21</v>
      </c>
      <c r="Q109" t="b">
        <v>0</v>
      </c>
      <c r="R109">
        <v>85.02</v>
      </c>
    </row>
    <row r="110" spans="1:18" hidden="1" x14ac:dyDescent="0.25">
      <c r="A110">
        <v>108</v>
      </c>
      <c r="B110" s="1">
        <v>45657</v>
      </c>
      <c r="D110" t="s">
        <v>36</v>
      </c>
      <c r="F110" t="s">
        <v>24</v>
      </c>
      <c r="G110" t="s">
        <v>46</v>
      </c>
      <c r="H110" t="s">
        <v>47</v>
      </c>
      <c r="I110">
        <v>1833.33</v>
      </c>
      <c r="J110">
        <v>1</v>
      </c>
      <c r="M110">
        <v>0</v>
      </c>
      <c r="O110" t="s">
        <v>21</v>
      </c>
      <c r="Q110" t="b">
        <v>0</v>
      </c>
      <c r="R110">
        <v>85.02</v>
      </c>
    </row>
    <row r="111" spans="1:18" hidden="1" x14ac:dyDescent="0.25">
      <c r="A111">
        <v>109</v>
      </c>
      <c r="B111" s="1">
        <v>45657</v>
      </c>
      <c r="D111" t="s">
        <v>36</v>
      </c>
      <c r="F111" t="s">
        <v>24</v>
      </c>
      <c r="G111" t="s">
        <v>48</v>
      </c>
      <c r="H111" t="s">
        <v>36</v>
      </c>
      <c r="I111">
        <v>9367.34</v>
      </c>
      <c r="J111">
        <v>1</v>
      </c>
      <c r="M111">
        <v>0</v>
      </c>
      <c r="O111" t="s">
        <v>21</v>
      </c>
      <c r="Q111" t="b">
        <v>0</v>
      </c>
      <c r="R111">
        <v>85.02</v>
      </c>
    </row>
    <row r="112" spans="1:18" hidden="1" x14ac:dyDescent="0.25">
      <c r="A112">
        <v>110</v>
      </c>
      <c r="B112" s="1">
        <v>45657</v>
      </c>
      <c r="D112" t="s">
        <v>36</v>
      </c>
      <c r="F112" t="s">
        <v>27</v>
      </c>
      <c r="G112" t="s">
        <v>28</v>
      </c>
      <c r="H112" t="s">
        <v>29</v>
      </c>
      <c r="I112">
        <v>15815.67</v>
      </c>
      <c r="J112">
        <v>29.18</v>
      </c>
      <c r="M112">
        <v>0</v>
      </c>
      <c r="N112">
        <v>4615.01</v>
      </c>
      <c r="O112" t="s">
        <v>21</v>
      </c>
      <c r="Q112" t="b">
        <v>0</v>
      </c>
      <c r="R112">
        <v>85.02</v>
      </c>
    </row>
    <row r="113" spans="1:18" hidden="1" x14ac:dyDescent="0.25">
      <c r="A113">
        <v>111</v>
      </c>
      <c r="B113" s="1">
        <v>45688</v>
      </c>
      <c r="D113" t="s">
        <v>30</v>
      </c>
      <c r="F113" t="s">
        <v>18</v>
      </c>
      <c r="G113" t="s">
        <v>19</v>
      </c>
      <c r="H113" t="s">
        <v>20</v>
      </c>
      <c r="I113">
        <v>149.47</v>
      </c>
      <c r="J113">
        <v>165.7355</v>
      </c>
      <c r="K113">
        <v>24772.49</v>
      </c>
      <c r="M113">
        <v>0</v>
      </c>
      <c r="N113">
        <v>24772.49</v>
      </c>
      <c r="O113" t="s">
        <v>21</v>
      </c>
      <c r="Q113" t="b">
        <v>0</v>
      </c>
      <c r="R113">
        <v>165.74</v>
      </c>
    </row>
    <row r="114" spans="1:18" hidden="1" x14ac:dyDescent="0.25">
      <c r="A114">
        <v>112</v>
      </c>
      <c r="B114" s="1">
        <v>45688</v>
      </c>
      <c r="D114" t="s">
        <v>30</v>
      </c>
      <c r="F114" t="s">
        <v>18</v>
      </c>
      <c r="G114" t="s">
        <v>49</v>
      </c>
      <c r="H114" t="s">
        <v>50</v>
      </c>
      <c r="I114">
        <v>15.2</v>
      </c>
      <c r="J114">
        <v>165.7355</v>
      </c>
      <c r="K114">
        <v>2519.1799999999998</v>
      </c>
      <c r="M114">
        <v>0</v>
      </c>
      <c r="N114">
        <v>2519.1799999999998</v>
      </c>
      <c r="O114" t="s">
        <v>21</v>
      </c>
      <c r="Q114" t="b">
        <v>0</v>
      </c>
      <c r="R114">
        <v>165.74</v>
      </c>
    </row>
    <row r="115" spans="1:18" hidden="1" x14ac:dyDescent="0.25">
      <c r="A115">
        <v>113</v>
      </c>
      <c r="B115" s="1">
        <v>45688</v>
      </c>
      <c r="D115" t="s">
        <v>30</v>
      </c>
      <c r="F115" t="s">
        <v>31</v>
      </c>
      <c r="G115" t="s">
        <v>60</v>
      </c>
      <c r="H115" t="s">
        <v>60</v>
      </c>
      <c r="I115">
        <v>53811.66</v>
      </c>
      <c r="J115">
        <v>1</v>
      </c>
      <c r="M115">
        <v>0</v>
      </c>
      <c r="N115">
        <v>53811.66</v>
      </c>
      <c r="O115" t="s">
        <v>21</v>
      </c>
      <c r="Q115" t="b">
        <v>0</v>
      </c>
      <c r="R115">
        <v>165.74</v>
      </c>
    </row>
    <row r="116" spans="1:18" hidden="1" x14ac:dyDescent="0.25">
      <c r="A116">
        <v>114</v>
      </c>
      <c r="B116" s="1">
        <v>45688</v>
      </c>
      <c r="D116" t="s">
        <v>30</v>
      </c>
      <c r="F116" t="s">
        <v>31</v>
      </c>
      <c r="G116" t="s">
        <v>32</v>
      </c>
      <c r="H116" t="s">
        <v>33</v>
      </c>
      <c r="I116">
        <v>1666.67</v>
      </c>
      <c r="J116">
        <v>1</v>
      </c>
      <c r="M116">
        <v>0</v>
      </c>
      <c r="N116">
        <f>I116</f>
        <v>1666.67</v>
      </c>
      <c r="O116" t="s">
        <v>21</v>
      </c>
      <c r="Q116" t="b">
        <v>0</v>
      </c>
      <c r="R116">
        <v>165.74</v>
      </c>
    </row>
    <row r="117" spans="1:18" hidden="1" x14ac:dyDescent="0.25">
      <c r="A117">
        <v>115</v>
      </c>
      <c r="B117" s="1">
        <v>45688</v>
      </c>
      <c r="D117" t="s">
        <v>30</v>
      </c>
      <c r="F117" t="s">
        <v>22</v>
      </c>
      <c r="G117">
        <v>9</v>
      </c>
      <c r="H117" t="s">
        <v>23</v>
      </c>
      <c r="I117">
        <v>82770</v>
      </c>
      <c r="J117">
        <v>11.5</v>
      </c>
      <c r="M117">
        <v>0</v>
      </c>
      <c r="N117" s="2">
        <v>9518.5499999999993</v>
      </c>
      <c r="O117" t="s">
        <v>21</v>
      </c>
      <c r="Q117" t="b">
        <v>0</v>
      </c>
      <c r="R117">
        <v>165.74</v>
      </c>
    </row>
    <row r="118" spans="1:18" hidden="1" x14ac:dyDescent="0.25">
      <c r="A118">
        <v>116</v>
      </c>
      <c r="B118" s="1">
        <v>45688</v>
      </c>
      <c r="D118" t="s">
        <v>30</v>
      </c>
      <c r="F118" t="s">
        <v>24</v>
      </c>
      <c r="G118" t="s">
        <v>34</v>
      </c>
      <c r="H118" t="s">
        <v>35</v>
      </c>
      <c r="I118">
        <v>50329</v>
      </c>
      <c r="J118">
        <v>1</v>
      </c>
      <c r="M118">
        <v>0</v>
      </c>
      <c r="O118" t="s">
        <v>21</v>
      </c>
      <c r="Q118" t="b">
        <v>0</v>
      </c>
      <c r="R118">
        <v>165.74</v>
      </c>
    </row>
    <row r="119" spans="1:18" hidden="1" x14ac:dyDescent="0.25">
      <c r="A119">
        <v>117</v>
      </c>
      <c r="B119" s="1">
        <v>45688</v>
      </c>
      <c r="D119" t="s">
        <v>30</v>
      </c>
      <c r="F119" t="s">
        <v>27</v>
      </c>
      <c r="G119" t="s">
        <v>28</v>
      </c>
      <c r="H119" t="s">
        <v>29</v>
      </c>
      <c r="I119">
        <v>82770</v>
      </c>
      <c r="J119">
        <v>39.19</v>
      </c>
      <c r="M119">
        <v>0</v>
      </c>
      <c r="N119">
        <v>32437.56</v>
      </c>
      <c r="O119" t="s">
        <v>21</v>
      </c>
      <c r="Q119" t="b">
        <v>0</v>
      </c>
      <c r="R119">
        <v>165.74</v>
      </c>
    </row>
    <row r="120" spans="1:18" hidden="1" x14ac:dyDescent="0.25">
      <c r="A120">
        <v>118</v>
      </c>
      <c r="B120" s="1">
        <v>45688</v>
      </c>
      <c r="D120" t="s">
        <v>36</v>
      </c>
      <c r="F120" t="s">
        <v>18</v>
      </c>
      <c r="G120" t="s">
        <v>19</v>
      </c>
      <c r="H120" t="s">
        <v>20</v>
      </c>
      <c r="I120">
        <v>96.27</v>
      </c>
      <c r="J120">
        <v>85.020200000000003</v>
      </c>
      <c r="K120">
        <v>8184.9</v>
      </c>
      <c r="M120">
        <v>0</v>
      </c>
      <c r="N120">
        <v>8184.9</v>
      </c>
      <c r="O120" t="s">
        <v>21</v>
      </c>
      <c r="Q120" t="b">
        <v>0</v>
      </c>
      <c r="R120">
        <v>85.02</v>
      </c>
    </row>
    <row r="121" spans="1:18" hidden="1" x14ac:dyDescent="0.25">
      <c r="A121">
        <v>119</v>
      </c>
      <c r="B121" s="1">
        <v>45688</v>
      </c>
      <c r="D121" t="s">
        <v>36</v>
      </c>
      <c r="F121" t="s">
        <v>18</v>
      </c>
      <c r="G121" t="s">
        <v>37</v>
      </c>
      <c r="H121" t="s">
        <v>38</v>
      </c>
      <c r="I121">
        <v>53.2</v>
      </c>
      <c r="J121">
        <v>85.020200000000003</v>
      </c>
      <c r="K121">
        <v>4523.08</v>
      </c>
      <c r="M121">
        <v>0</v>
      </c>
      <c r="N121">
        <v>4523.08</v>
      </c>
      <c r="O121" t="s">
        <v>21</v>
      </c>
      <c r="Q121" t="b">
        <v>0</v>
      </c>
      <c r="R121">
        <v>85.02</v>
      </c>
    </row>
    <row r="122" spans="1:18" hidden="1" x14ac:dyDescent="0.25">
      <c r="A122">
        <v>120</v>
      </c>
      <c r="B122" s="1">
        <v>45688</v>
      </c>
      <c r="D122" t="s">
        <v>36</v>
      </c>
      <c r="F122" t="s">
        <v>31</v>
      </c>
      <c r="G122" t="s">
        <v>39</v>
      </c>
      <c r="H122" t="s">
        <v>40</v>
      </c>
      <c r="I122">
        <v>53.2</v>
      </c>
      <c r="J122">
        <v>17.5</v>
      </c>
      <c r="M122">
        <v>0</v>
      </c>
      <c r="N122">
        <v>791.54</v>
      </c>
      <c r="O122" t="s">
        <v>21</v>
      </c>
      <c r="Q122" t="b">
        <v>0</v>
      </c>
      <c r="R122">
        <v>85.02</v>
      </c>
    </row>
    <row r="123" spans="1:18" hidden="1" x14ac:dyDescent="0.25">
      <c r="A123">
        <v>121</v>
      </c>
      <c r="B123" s="1">
        <v>45688</v>
      </c>
      <c r="D123" t="s">
        <v>36</v>
      </c>
      <c r="F123" t="s">
        <v>18</v>
      </c>
      <c r="G123" t="s">
        <v>49</v>
      </c>
      <c r="H123" t="s">
        <v>50</v>
      </c>
      <c r="I123">
        <v>15.2</v>
      </c>
      <c r="J123">
        <v>85.020200000000003</v>
      </c>
      <c r="K123">
        <v>1292.31</v>
      </c>
      <c r="M123">
        <v>0</v>
      </c>
      <c r="N123">
        <v>1292.31</v>
      </c>
      <c r="O123" t="s">
        <v>21</v>
      </c>
      <c r="Q123" t="b">
        <v>0</v>
      </c>
      <c r="R123">
        <v>85.02</v>
      </c>
    </row>
    <row r="124" spans="1:18" hidden="1" x14ac:dyDescent="0.25">
      <c r="A124">
        <v>122</v>
      </c>
      <c r="B124" s="1">
        <v>45688</v>
      </c>
      <c r="D124" t="s">
        <v>36</v>
      </c>
      <c r="F124" t="s">
        <v>31</v>
      </c>
      <c r="G124" t="s">
        <v>60</v>
      </c>
      <c r="H124" t="s">
        <v>60</v>
      </c>
      <c r="I124">
        <v>26905.83</v>
      </c>
      <c r="J124">
        <v>1</v>
      </c>
      <c r="M124">
        <v>0</v>
      </c>
      <c r="N124">
        <v>26905.83</v>
      </c>
      <c r="O124" t="s">
        <v>21</v>
      </c>
      <c r="Q124" t="b">
        <v>0</v>
      </c>
      <c r="R124">
        <v>85.02</v>
      </c>
    </row>
    <row r="125" spans="1:18" hidden="1" x14ac:dyDescent="0.25">
      <c r="A125">
        <v>123</v>
      </c>
      <c r="B125" s="1">
        <v>45688</v>
      </c>
      <c r="D125" t="s">
        <v>36</v>
      </c>
      <c r="F125" t="s">
        <v>31</v>
      </c>
      <c r="G125" t="s">
        <v>41</v>
      </c>
      <c r="H125" t="s">
        <v>42</v>
      </c>
      <c r="I125">
        <v>1833.33</v>
      </c>
      <c r="J125">
        <v>1</v>
      </c>
      <c r="M125">
        <v>0</v>
      </c>
      <c r="N125">
        <f>I125</f>
        <v>1833.33</v>
      </c>
      <c r="O125" t="s">
        <v>21</v>
      </c>
      <c r="Q125" t="b">
        <v>0</v>
      </c>
      <c r="R125">
        <v>85.02</v>
      </c>
    </row>
    <row r="126" spans="1:18" hidden="1" x14ac:dyDescent="0.25">
      <c r="A126">
        <v>124</v>
      </c>
      <c r="B126" s="1">
        <v>45688</v>
      </c>
      <c r="D126" t="s">
        <v>36</v>
      </c>
      <c r="F126" t="s">
        <v>22</v>
      </c>
      <c r="G126">
        <v>9</v>
      </c>
      <c r="H126" t="s">
        <v>23</v>
      </c>
      <c r="I126">
        <v>40906.120000000003</v>
      </c>
      <c r="J126">
        <v>11.5</v>
      </c>
      <c r="M126">
        <v>0</v>
      </c>
      <c r="N126" s="2">
        <v>4704.2</v>
      </c>
      <c r="O126" t="s">
        <v>21</v>
      </c>
      <c r="Q126" t="b">
        <v>0</v>
      </c>
      <c r="R126">
        <v>85.02</v>
      </c>
    </row>
    <row r="127" spans="1:18" hidden="1" x14ac:dyDescent="0.25">
      <c r="A127">
        <v>125</v>
      </c>
      <c r="B127" s="1">
        <v>45688</v>
      </c>
      <c r="D127" t="s">
        <v>36</v>
      </c>
      <c r="F127" t="s">
        <v>43</v>
      </c>
      <c r="G127" t="s">
        <v>44</v>
      </c>
      <c r="H127" t="s">
        <v>45</v>
      </c>
      <c r="I127">
        <v>583.33000000000004</v>
      </c>
      <c r="J127">
        <v>1</v>
      </c>
      <c r="M127">
        <v>0</v>
      </c>
      <c r="N127">
        <v>583.33000000000004</v>
      </c>
      <c r="O127" t="s">
        <v>21</v>
      </c>
      <c r="Q127" t="b">
        <v>0</v>
      </c>
      <c r="R127">
        <v>85.02</v>
      </c>
    </row>
    <row r="128" spans="1:18" hidden="1" x14ac:dyDescent="0.25">
      <c r="A128">
        <v>126</v>
      </c>
      <c r="B128" s="1">
        <v>45688</v>
      </c>
      <c r="D128" t="s">
        <v>36</v>
      </c>
      <c r="F128" t="s">
        <v>24</v>
      </c>
      <c r="G128" t="s">
        <v>46</v>
      </c>
      <c r="H128" t="s">
        <v>47</v>
      </c>
      <c r="I128">
        <v>1833.33</v>
      </c>
      <c r="J128">
        <v>1</v>
      </c>
      <c r="M128">
        <v>0</v>
      </c>
      <c r="O128" t="s">
        <v>21</v>
      </c>
      <c r="Q128" t="b">
        <v>0</v>
      </c>
      <c r="R128">
        <v>85.02</v>
      </c>
    </row>
    <row r="129" spans="1:18" hidden="1" x14ac:dyDescent="0.25">
      <c r="A129">
        <v>127</v>
      </c>
      <c r="B129" s="1">
        <v>45688</v>
      </c>
      <c r="D129" t="s">
        <v>36</v>
      </c>
      <c r="F129" t="s">
        <v>24</v>
      </c>
      <c r="G129" t="s">
        <v>48</v>
      </c>
      <c r="H129" t="s">
        <v>36</v>
      </c>
      <c r="I129">
        <v>28963.33</v>
      </c>
      <c r="J129">
        <v>1</v>
      </c>
      <c r="M129">
        <v>0</v>
      </c>
      <c r="O129" t="s">
        <v>21</v>
      </c>
      <c r="Q129" t="b">
        <v>0</v>
      </c>
      <c r="R129">
        <v>85.02</v>
      </c>
    </row>
    <row r="130" spans="1:18" hidden="1" x14ac:dyDescent="0.25">
      <c r="A130">
        <v>128</v>
      </c>
      <c r="B130" s="1">
        <v>45688</v>
      </c>
      <c r="D130" t="s">
        <v>36</v>
      </c>
      <c r="F130" t="s">
        <v>27</v>
      </c>
      <c r="G130" t="s">
        <v>28</v>
      </c>
      <c r="H130" t="s">
        <v>29</v>
      </c>
      <c r="I130">
        <v>42947.66</v>
      </c>
      <c r="J130">
        <v>28.29</v>
      </c>
      <c r="M130">
        <v>0</v>
      </c>
      <c r="N130">
        <v>12149.89</v>
      </c>
      <c r="O130" t="s">
        <v>21</v>
      </c>
      <c r="Q130" t="b">
        <v>0</v>
      </c>
      <c r="R130">
        <v>85.02</v>
      </c>
    </row>
    <row r="131" spans="1:18" hidden="1" x14ac:dyDescent="0.25">
      <c r="A131">
        <v>129</v>
      </c>
      <c r="B131" s="1">
        <v>45716</v>
      </c>
      <c r="D131" t="s">
        <v>30</v>
      </c>
      <c r="F131" t="s">
        <v>18</v>
      </c>
      <c r="G131" t="s">
        <v>19</v>
      </c>
      <c r="H131" t="s">
        <v>20</v>
      </c>
      <c r="I131">
        <v>50.67</v>
      </c>
      <c r="J131">
        <v>165.7355</v>
      </c>
      <c r="K131">
        <v>8397.82</v>
      </c>
      <c r="M131">
        <v>0</v>
      </c>
      <c r="N131">
        <v>8397.82</v>
      </c>
      <c r="O131" t="s">
        <v>21</v>
      </c>
      <c r="Q131" t="b">
        <v>0</v>
      </c>
      <c r="R131">
        <v>165.74</v>
      </c>
    </row>
    <row r="132" spans="1:18" hidden="1" x14ac:dyDescent="0.25">
      <c r="A132">
        <v>130</v>
      </c>
      <c r="B132" s="1">
        <v>45716</v>
      </c>
      <c r="D132" t="s">
        <v>30</v>
      </c>
      <c r="F132" t="s">
        <v>18</v>
      </c>
      <c r="G132" t="s">
        <v>37</v>
      </c>
      <c r="H132" t="s">
        <v>38</v>
      </c>
      <c r="I132">
        <v>114</v>
      </c>
      <c r="J132">
        <v>165.7355</v>
      </c>
      <c r="K132">
        <v>18893.849999999999</v>
      </c>
      <c r="M132">
        <v>0</v>
      </c>
      <c r="N132">
        <v>18893.849999999999</v>
      </c>
      <c r="O132" t="s">
        <v>21</v>
      </c>
      <c r="Q132" t="b">
        <v>0</v>
      </c>
      <c r="R132">
        <v>165.74</v>
      </c>
    </row>
    <row r="133" spans="1:18" hidden="1" x14ac:dyDescent="0.25">
      <c r="A133">
        <v>131</v>
      </c>
      <c r="B133" s="1">
        <v>45716</v>
      </c>
      <c r="D133" t="s">
        <v>30</v>
      </c>
      <c r="F133" t="s">
        <v>31</v>
      </c>
      <c r="G133" t="s">
        <v>39</v>
      </c>
      <c r="H133" t="s">
        <v>40</v>
      </c>
      <c r="I133">
        <v>114</v>
      </c>
      <c r="J133">
        <v>17.5</v>
      </c>
      <c r="M133">
        <v>0</v>
      </c>
      <c r="N133">
        <v>3306.51</v>
      </c>
      <c r="O133" t="s">
        <v>21</v>
      </c>
      <c r="Q133" t="b">
        <v>0</v>
      </c>
      <c r="R133">
        <v>165.74</v>
      </c>
    </row>
    <row r="134" spans="1:18" hidden="1" x14ac:dyDescent="0.25">
      <c r="A134">
        <v>132</v>
      </c>
      <c r="B134" s="1">
        <v>45716</v>
      </c>
      <c r="D134" t="s">
        <v>30</v>
      </c>
      <c r="F134" t="s">
        <v>31</v>
      </c>
      <c r="G134" t="s">
        <v>32</v>
      </c>
      <c r="H134" t="s">
        <v>33</v>
      </c>
      <c r="I134">
        <v>1666.67</v>
      </c>
      <c r="J134">
        <v>1</v>
      </c>
      <c r="M134">
        <v>0</v>
      </c>
      <c r="N134">
        <f>I134</f>
        <v>1666.67</v>
      </c>
      <c r="O134" t="s">
        <v>21</v>
      </c>
      <c r="Q134" t="b">
        <v>0</v>
      </c>
      <c r="R134">
        <v>165.74</v>
      </c>
    </row>
    <row r="135" spans="1:18" hidden="1" x14ac:dyDescent="0.25">
      <c r="A135">
        <v>133</v>
      </c>
      <c r="B135" s="1">
        <v>45716</v>
      </c>
      <c r="D135" t="s">
        <v>30</v>
      </c>
      <c r="F135" t="s">
        <v>22</v>
      </c>
      <c r="G135">
        <v>9</v>
      </c>
      <c r="H135" t="s">
        <v>23</v>
      </c>
      <c r="I135">
        <v>28958.34</v>
      </c>
      <c r="J135">
        <v>11.5</v>
      </c>
      <c r="M135">
        <v>0</v>
      </c>
      <c r="N135" s="2">
        <v>3330.21</v>
      </c>
      <c r="O135" t="s">
        <v>21</v>
      </c>
      <c r="Q135" t="b">
        <v>0</v>
      </c>
      <c r="R135">
        <v>165.74</v>
      </c>
    </row>
    <row r="136" spans="1:18" hidden="1" x14ac:dyDescent="0.25">
      <c r="A136">
        <v>134</v>
      </c>
      <c r="B136" s="1">
        <v>45716</v>
      </c>
      <c r="D136" t="s">
        <v>30</v>
      </c>
      <c r="F136" t="s">
        <v>24</v>
      </c>
      <c r="G136" t="s">
        <v>34</v>
      </c>
      <c r="H136" t="s">
        <v>35</v>
      </c>
      <c r="I136">
        <v>19918.759999999998</v>
      </c>
      <c r="J136">
        <v>1</v>
      </c>
      <c r="M136">
        <v>0</v>
      </c>
      <c r="O136" t="s">
        <v>21</v>
      </c>
      <c r="Q136" t="b">
        <v>0</v>
      </c>
      <c r="R136">
        <v>165.74</v>
      </c>
    </row>
    <row r="137" spans="1:18" hidden="1" x14ac:dyDescent="0.25">
      <c r="A137">
        <v>135</v>
      </c>
      <c r="B137" s="1">
        <v>45716</v>
      </c>
      <c r="D137" t="s">
        <v>30</v>
      </c>
      <c r="F137" t="s">
        <v>27</v>
      </c>
      <c r="G137" t="s">
        <v>28</v>
      </c>
      <c r="H137" t="s">
        <v>29</v>
      </c>
      <c r="I137">
        <v>32264.76</v>
      </c>
      <c r="J137">
        <v>38.26</v>
      </c>
      <c r="M137">
        <v>0</v>
      </c>
      <c r="N137">
        <v>12344.5</v>
      </c>
      <c r="O137" t="s">
        <v>21</v>
      </c>
      <c r="Q137" t="b">
        <v>0</v>
      </c>
      <c r="R137">
        <v>165.74</v>
      </c>
    </row>
    <row r="138" spans="1:18" hidden="1" x14ac:dyDescent="0.25">
      <c r="A138">
        <v>136</v>
      </c>
      <c r="B138" s="1">
        <v>45716</v>
      </c>
      <c r="D138" t="s">
        <v>36</v>
      </c>
      <c r="F138" t="s">
        <v>18</v>
      </c>
      <c r="G138" t="s">
        <v>19</v>
      </c>
      <c r="H138" t="s">
        <v>20</v>
      </c>
      <c r="I138">
        <v>126.67</v>
      </c>
      <c r="J138">
        <v>85.020200000000003</v>
      </c>
      <c r="K138">
        <v>10769.51</v>
      </c>
      <c r="M138">
        <v>0</v>
      </c>
      <c r="N138">
        <v>10769.51</v>
      </c>
      <c r="O138" t="s">
        <v>21</v>
      </c>
      <c r="Q138" t="b">
        <v>0</v>
      </c>
      <c r="R138">
        <v>85.02</v>
      </c>
    </row>
    <row r="139" spans="1:18" hidden="1" x14ac:dyDescent="0.25">
      <c r="A139">
        <v>137</v>
      </c>
      <c r="B139" s="1">
        <v>45716</v>
      </c>
      <c r="D139" t="s">
        <v>36</v>
      </c>
      <c r="F139" t="s">
        <v>18</v>
      </c>
      <c r="G139" t="s">
        <v>37</v>
      </c>
      <c r="H139" t="s">
        <v>38</v>
      </c>
      <c r="I139">
        <v>38</v>
      </c>
      <c r="J139">
        <v>85.020200000000003</v>
      </c>
      <c r="K139">
        <v>3230.77</v>
      </c>
      <c r="M139">
        <v>0</v>
      </c>
      <c r="N139">
        <v>3230.77</v>
      </c>
      <c r="O139" t="s">
        <v>21</v>
      </c>
      <c r="Q139" t="b">
        <v>0</v>
      </c>
      <c r="R139">
        <v>85.02</v>
      </c>
    </row>
    <row r="140" spans="1:18" hidden="1" x14ac:dyDescent="0.25">
      <c r="A140">
        <v>138</v>
      </c>
      <c r="B140" s="1">
        <v>45716</v>
      </c>
      <c r="D140" t="s">
        <v>36</v>
      </c>
      <c r="F140" t="s">
        <v>31</v>
      </c>
      <c r="G140" t="s">
        <v>39</v>
      </c>
      <c r="H140" t="s">
        <v>40</v>
      </c>
      <c r="I140">
        <v>38</v>
      </c>
      <c r="J140">
        <v>17.5</v>
      </c>
      <c r="M140">
        <v>0</v>
      </c>
      <c r="N140">
        <v>565.38</v>
      </c>
      <c r="O140" t="s">
        <v>21</v>
      </c>
      <c r="Q140" t="b">
        <v>0</v>
      </c>
      <c r="R140">
        <v>85.02</v>
      </c>
    </row>
    <row r="141" spans="1:18" hidden="1" x14ac:dyDescent="0.25">
      <c r="A141">
        <v>139</v>
      </c>
      <c r="B141" s="1">
        <v>45716</v>
      </c>
      <c r="D141" t="s">
        <v>36</v>
      </c>
      <c r="F141" t="s">
        <v>31</v>
      </c>
      <c r="G141" t="s">
        <v>41</v>
      </c>
      <c r="H141" t="s">
        <v>42</v>
      </c>
      <c r="I141">
        <v>1833.33</v>
      </c>
      <c r="J141">
        <v>1</v>
      </c>
      <c r="M141">
        <v>0</v>
      </c>
      <c r="N141">
        <f>I141</f>
        <v>1833.33</v>
      </c>
      <c r="O141" t="s">
        <v>21</v>
      </c>
      <c r="Q141" t="b">
        <v>0</v>
      </c>
      <c r="R141">
        <v>85.02</v>
      </c>
    </row>
    <row r="142" spans="1:18" hidden="1" x14ac:dyDescent="0.25">
      <c r="A142">
        <v>140</v>
      </c>
      <c r="B142" s="1">
        <v>45716</v>
      </c>
      <c r="D142" t="s">
        <v>36</v>
      </c>
      <c r="F142" t="s">
        <v>22</v>
      </c>
      <c r="G142">
        <v>9</v>
      </c>
      <c r="H142" t="s">
        <v>23</v>
      </c>
      <c r="I142">
        <v>14000.28</v>
      </c>
      <c r="J142">
        <v>11.5</v>
      </c>
      <c r="M142">
        <v>0</v>
      </c>
      <c r="N142" s="2">
        <v>1610.03</v>
      </c>
      <c r="O142" t="s">
        <v>21</v>
      </c>
      <c r="Q142" t="b">
        <v>0</v>
      </c>
      <c r="R142">
        <v>85.02</v>
      </c>
    </row>
    <row r="143" spans="1:18" hidden="1" x14ac:dyDescent="0.25">
      <c r="A143">
        <v>141</v>
      </c>
      <c r="B143" s="1">
        <v>45716</v>
      </c>
      <c r="D143" t="s">
        <v>36</v>
      </c>
      <c r="F143" t="s">
        <v>43</v>
      </c>
      <c r="G143" t="s">
        <v>44</v>
      </c>
      <c r="H143" t="s">
        <v>45</v>
      </c>
      <c r="I143">
        <v>583.33000000000004</v>
      </c>
      <c r="J143">
        <v>1</v>
      </c>
      <c r="M143">
        <v>0</v>
      </c>
      <c r="N143">
        <v>583.33000000000004</v>
      </c>
      <c r="O143" t="s">
        <v>21</v>
      </c>
      <c r="Q143" t="b">
        <v>0</v>
      </c>
      <c r="R143">
        <v>85.02</v>
      </c>
    </row>
    <row r="144" spans="1:18" hidden="1" x14ac:dyDescent="0.25">
      <c r="A144">
        <v>142</v>
      </c>
      <c r="B144" s="1">
        <v>45716</v>
      </c>
      <c r="D144" t="s">
        <v>36</v>
      </c>
      <c r="F144" t="s">
        <v>24</v>
      </c>
      <c r="G144" t="s">
        <v>46</v>
      </c>
      <c r="H144" t="s">
        <v>47</v>
      </c>
      <c r="I144">
        <v>1833.33</v>
      </c>
      <c r="J144">
        <v>1</v>
      </c>
      <c r="M144">
        <v>0</v>
      </c>
      <c r="O144" t="s">
        <v>21</v>
      </c>
      <c r="Q144" t="b">
        <v>0</v>
      </c>
      <c r="R144">
        <v>85.02</v>
      </c>
    </row>
    <row r="145" spans="1:18" hidden="1" x14ac:dyDescent="0.25">
      <c r="A145">
        <v>143</v>
      </c>
      <c r="B145" s="1">
        <v>45716</v>
      </c>
      <c r="D145" t="s">
        <v>36</v>
      </c>
      <c r="F145" t="s">
        <v>24</v>
      </c>
      <c r="G145" t="s">
        <v>48</v>
      </c>
      <c r="H145" t="s">
        <v>36</v>
      </c>
      <c r="I145">
        <v>9367.33</v>
      </c>
      <c r="J145">
        <v>1</v>
      </c>
      <c r="M145">
        <v>0</v>
      </c>
      <c r="O145" t="s">
        <v>21</v>
      </c>
      <c r="Q145" t="b">
        <v>0</v>
      </c>
      <c r="R145">
        <v>85.02</v>
      </c>
    </row>
    <row r="146" spans="1:18" hidden="1" x14ac:dyDescent="0.25">
      <c r="A146">
        <v>144</v>
      </c>
      <c r="B146" s="1">
        <v>45716</v>
      </c>
      <c r="D146" t="s">
        <v>36</v>
      </c>
      <c r="F146" t="s">
        <v>27</v>
      </c>
      <c r="G146" t="s">
        <v>28</v>
      </c>
      <c r="H146" t="s">
        <v>29</v>
      </c>
      <c r="I146">
        <v>15815.66</v>
      </c>
      <c r="J146">
        <v>29.18</v>
      </c>
      <c r="M146">
        <v>0</v>
      </c>
      <c r="N146">
        <v>4615.01</v>
      </c>
      <c r="O146" t="s">
        <v>21</v>
      </c>
      <c r="Q146" t="b">
        <v>0</v>
      </c>
      <c r="R146">
        <v>85.02</v>
      </c>
    </row>
    <row r="147" spans="1:18" hidden="1" x14ac:dyDescent="0.25">
      <c r="A147">
        <v>145</v>
      </c>
      <c r="B147" s="1">
        <v>45747</v>
      </c>
      <c r="D147" t="s">
        <v>30</v>
      </c>
      <c r="F147" t="s">
        <v>18</v>
      </c>
      <c r="G147" t="s">
        <v>19</v>
      </c>
      <c r="H147" t="s">
        <v>20</v>
      </c>
      <c r="I147">
        <v>141.87</v>
      </c>
      <c r="J147">
        <v>165.7355</v>
      </c>
      <c r="K147">
        <v>23512.9</v>
      </c>
      <c r="M147">
        <v>0</v>
      </c>
      <c r="N147">
        <v>23512.9</v>
      </c>
      <c r="O147" t="s">
        <v>21</v>
      </c>
      <c r="Q147" t="b">
        <v>0</v>
      </c>
      <c r="R147">
        <v>165.74</v>
      </c>
    </row>
    <row r="148" spans="1:18" hidden="1" x14ac:dyDescent="0.25">
      <c r="A148">
        <v>146</v>
      </c>
      <c r="B148" s="1">
        <v>45747</v>
      </c>
      <c r="D148" t="s">
        <v>30</v>
      </c>
      <c r="F148" t="s">
        <v>18</v>
      </c>
      <c r="G148" t="s">
        <v>51</v>
      </c>
      <c r="H148" t="s">
        <v>52</v>
      </c>
      <c r="I148">
        <v>22.8</v>
      </c>
      <c r="J148">
        <v>165.7355</v>
      </c>
      <c r="K148">
        <v>3778.77</v>
      </c>
      <c r="M148">
        <v>0</v>
      </c>
      <c r="N148">
        <v>3778.77</v>
      </c>
      <c r="O148" t="s">
        <v>21</v>
      </c>
      <c r="Q148" t="b">
        <v>0</v>
      </c>
      <c r="R148">
        <v>165.74</v>
      </c>
    </row>
    <row r="149" spans="1:18" hidden="1" x14ac:dyDescent="0.25">
      <c r="A149">
        <v>147</v>
      </c>
      <c r="B149" s="1">
        <v>45747</v>
      </c>
      <c r="D149" t="s">
        <v>30</v>
      </c>
      <c r="F149" t="s">
        <v>31</v>
      </c>
      <c r="G149" t="s">
        <v>32</v>
      </c>
      <c r="H149" t="s">
        <v>33</v>
      </c>
      <c r="I149">
        <v>1666.67</v>
      </c>
      <c r="J149">
        <v>1</v>
      </c>
      <c r="M149">
        <v>0</v>
      </c>
      <c r="N149">
        <f>I149</f>
        <v>1666.67</v>
      </c>
      <c r="O149" t="s">
        <v>21</v>
      </c>
      <c r="Q149" t="b">
        <v>0</v>
      </c>
      <c r="R149">
        <v>165.74</v>
      </c>
    </row>
    <row r="150" spans="1:18" hidden="1" x14ac:dyDescent="0.25">
      <c r="A150">
        <v>148</v>
      </c>
      <c r="B150" s="1">
        <v>45747</v>
      </c>
      <c r="D150" t="s">
        <v>30</v>
      </c>
      <c r="F150" t="s">
        <v>22</v>
      </c>
      <c r="G150">
        <v>9</v>
      </c>
      <c r="H150" t="s">
        <v>23</v>
      </c>
      <c r="I150">
        <v>28958.34</v>
      </c>
      <c r="J150">
        <v>11.5</v>
      </c>
      <c r="M150">
        <v>0</v>
      </c>
      <c r="N150" s="2">
        <v>3330.21</v>
      </c>
      <c r="O150" t="s">
        <v>21</v>
      </c>
      <c r="Q150" t="b">
        <v>0</v>
      </c>
      <c r="R150">
        <v>165.74</v>
      </c>
    </row>
    <row r="151" spans="1:18" hidden="1" x14ac:dyDescent="0.25">
      <c r="A151">
        <v>149</v>
      </c>
      <c r="B151" s="1">
        <v>45747</v>
      </c>
      <c r="D151" t="s">
        <v>30</v>
      </c>
      <c r="F151" t="s">
        <v>24</v>
      </c>
      <c r="G151" t="s">
        <v>34</v>
      </c>
      <c r="H151" t="s">
        <v>35</v>
      </c>
      <c r="I151">
        <v>18168.34</v>
      </c>
      <c r="J151">
        <v>1</v>
      </c>
      <c r="M151">
        <v>0</v>
      </c>
      <c r="O151" t="s">
        <v>21</v>
      </c>
      <c r="Q151" t="b">
        <v>0</v>
      </c>
      <c r="R151">
        <v>165.74</v>
      </c>
    </row>
    <row r="152" spans="1:18" hidden="1" x14ac:dyDescent="0.25">
      <c r="A152">
        <v>150</v>
      </c>
      <c r="B152" s="1">
        <v>45747</v>
      </c>
      <c r="D152" t="s">
        <v>30</v>
      </c>
      <c r="F152" t="s">
        <v>27</v>
      </c>
      <c r="G152" t="s">
        <v>28</v>
      </c>
      <c r="H152" t="s">
        <v>29</v>
      </c>
      <c r="I152">
        <v>28958.34</v>
      </c>
      <c r="J152">
        <v>37.26</v>
      </c>
      <c r="M152">
        <v>0</v>
      </c>
      <c r="N152">
        <v>10789.88</v>
      </c>
      <c r="O152" t="s">
        <v>21</v>
      </c>
      <c r="Q152" t="b">
        <v>0</v>
      </c>
      <c r="R152">
        <v>165.74</v>
      </c>
    </row>
    <row r="153" spans="1:18" hidden="1" x14ac:dyDescent="0.25">
      <c r="A153">
        <v>151</v>
      </c>
      <c r="B153" s="1">
        <v>45747</v>
      </c>
      <c r="D153" t="s">
        <v>36</v>
      </c>
      <c r="F153" t="s">
        <v>18</v>
      </c>
      <c r="G153" t="s">
        <v>19</v>
      </c>
      <c r="H153" t="s">
        <v>20</v>
      </c>
      <c r="I153">
        <v>164.67</v>
      </c>
      <c r="J153">
        <v>85.020200000000003</v>
      </c>
      <c r="K153">
        <v>14000.28</v>
      </c>
      <c r="M153">
        <v>0</v>
      </c>
      <c r="N153">
        <v>14000.28</v>
      </c>
      <c r="O153" t="s">
        <v>21</v>
      </c>
      <c r="Q153" t="b">
        <v>0</v>
      </c>
      <c r="R153">
        <v>85.02</v>
      </c>
    </row>
    <row r="154" spans="1:18" hidden="1" x14ac:dyDescent="0.25">
      <c r="A154">
        <v>152</v>
      </c>
      <c r="B154" s="1">
        <v>45747</v>
      </c>
      <c r="D154" t="s">
        <v>36</v>
      </c>
      <c r="F154" t="s">
        <v>31</v>
      </c>
      <c r="G154" t="s">
        <v>41</v>
      </c>
      <c r="H154" t="s">
        <v>42</v>
      </c>
      <c r="I154">
        <v>1833.33</v>
      </c>
      <c r="J154">
        <v>1</v>
      </c>
      <c r="M154">
        <v>0</v>
      </c>
      <c r="N154">
        <f>I154</f>
        <v>1833.33</v>
      </c>
      <c r="O154" t="s">
        <v>21</v>
      </c>
      <c r="Q154" t="b">
        <v>0</v>
      </c>
      <c r="R154">
        <v>85.02</v>
      </c>
    </row>
    <row r="155" spans="1:18" hidden="1" x14ac:dyDescent="0.25">
      <c r="A155">
        <v>153</v>
      </c>
      <c r="B155" s="1">
        <v>45747</v>
      </c>
      <c r="D155" t="s">
        <v>36</v>
      </c>
      <c r="F155" t="s">
        <v>22</v>
      </c>
      <c r="G155">
        <v>9</v>
      </c>
      <c r="H155" t="s">
        <v>23</v>
      </c>
      <c r="I155">
        <v>14000.28</v>
      </c>
      <c r="J155">
        <v>11.5</v>
      </c>
      <c r="M155">
        <v>0</v>
      </c>
      <c r="N155" s="2">
        <v>1610.03</v>
      </c>
      <c r="O155" t="s">
        <v>21</v>
      </c>
      <c r="Q155" t="b">
        <v>0</v>
      </c>
      <c r="R155">
        <v>85.02</v>
      </c>
    </row>
    <row r="156" spans="1:18" hidden="1" x14ac:dyDescent="0.25">
      <c r="A156">
        <v>154</v>
      </c>
      <c r="B156" s="1">
        <v>45747</v>
      </c>
      <c r="D156" t="s">
        <v>36</v>
      </c>
      <c r="F156" t="s">
        <v>43</v>
      </c>
      <c r="G156" t="s">
        <v>44</v>
      </c>
      <c r="H156" t="s">
        <v>45</v>
      </c>
      <c r="I156">
        <v>583.33000000000004</v>
      </c>
      <c r="J156">
        <v>1</v>
      </c>
      <c r="M156">
        <v>0</v>
      </c>
      <c r="N156">
        <v>583.33000000000004</v>
      </c>
      <c r="O156" t="s">
        <v>21</v>
      </c>
      <c r="Q156" t="b">
        <v>0</v>
      </c>
      <c r="R156">
        <v>85.02</v>
      </c>
    </row>
    <row r="157" spans="1:18" hidden="1" x14ac:dyDescent="0.25">
      <c r="A157">
        <v>155</v>
      </c>
      <c r="B157" s="1">
        <v>45747</v>
      </c>
      <c r="D157" t="s">
        <v>36</v>
      </c>
      <c r="F157" t="s">
        <v>24</v>
      </c>
      <c r="G157" t="s">
        <v>46</v>
      </c>
      <c r="H157" t="s">
        <v>47</v>
      </c>
      <c r="I157">
        <v>1833.33</v>
      </c>
      <c r="J157">
        <v>1</v>
      </c>
      <c r="M157">
        <v>0</v>
      </c>
      <c r="O157" t="s">
        <v>21</v>
      </c>
      <c r="Q157" t="b">
        <v>0</v>
      </c>
      <c r="R157">
        <v>85.02</v>
      </c>
    </row>
    <row r="158" spans="1:18" hidden="1" x14ac:dyDescent="0.25">
      <c r="A158">
        <v>156</v>
      </c>
      <c r="B158" s="1">
        <v>45747</v>
      </c>
      <c r="D158" t="s">
        <v>36</v>
      </c>
      <c r="F158" t="s">
        <v>24</v>
      </c>
      <c r="G158" t="s">
        <v>48</v>
      </c>
      <c r="H158" t="s">
        <v>36</v>
      </c>
      <c r="I158">
        <v>9022.9500000000007</v>
      </c>
      <c r="J158">
        <v>1</v>
      </c>
      <c r="M158">
        <v>0</v>
      </c>
      <c r="O158" t="s">
        <v>21</v>
      </c>
      <c r="Q158" t="b">
        <v>0</v>
      </c>
      <c r="R158">
        <v>85.02</v>
      </c>
    </row>
    <row r="159" spans="1:18" hidden="1" x14ac:dyDescent="0.25">
      <c r="A159">
        <v>157</v>
      </c>
      <c r="B159" s="1">
        <v>45747</v>
      </c>
      <c r="D159" t="s">
        <v>36</v>
      </c>
      <c r="F159" t="s">
        <v>27</v>
      </c>
      <c r="G159" t="s">
        <v>28</v>
      </c>
      <c r="H159" t="s">
        <v>29</v>
      </c>
      <c r="I159">
        <v>15250.28</v>
      </c>
      <c r="J159">
        <v>28.81</v>
      </c>
      <c r="M159">
        <v>0</v>
      </c>
      <c r="N159">
        <v>4393.6099999999997</v>
      </c>
      <c r="O159" t="s">
        <v>21</v>
      </c>
      <c r="Q159" t="b">
        <v>0</v>
      </c>
      <c r="R159">
        <v>85.02</v>
      </c>
    </row>
    <row r="160" spans="1:18" hidden="1" x14ac:dyDescent="0.25">
      <c r="A160">
        <v>158</v>
      </c>
      <c r="B160" s="1">
        <v>45777</v>
      </c>
      <c r="D160" t="s">
        <v>30</v>
      </c>
      <c r="F160" t="s">
        <v>18</v>
      </c>
      <c r="G160" t="s">
        <v>19</v>
      </c>
      <c r="H160" t="s">
        <v>20</v>
      </c>
      <c r="I160">
        <v>141.87</v>
      </c>
      <c r="J160">
        <v>165.7355</v>
      </c>
      <c r="K160">
        <v>23512.9</v>
      </c>
      <c r="M160">
        <v>0</v>
      </c>
      <c r="N160">
        <v>23512.9</v>
      </c>
      <c r="O160" t="s">
        <v>21</v>
      </c>
      <c r="Q160" t="b">
        <v>0</v>
      </c>
      <c r="R160">
        <v>165.74</v>
      </c>
    </row>
    <row r="161" spans="1:18" hidden="1" x14ac:dyDescent="0.25">
      <c r="A161">
        <v>159</v>
      </c>
      <c r="B161" s="1">
        <v>45777</v>
      </c>
      <c r="D161" t="s">
        <v>30</v>
      </c>
      <c r="F161" t="s">
        <v>31</v>
      </c>
      <c r="G161" t="s">
        <v>32</v>
      </c>
      <c r="H161" t="s">
        <v>33</v>
      </c>
      <c r="I161">
        <v>1666.67</v>
      </c>
      <c r="J161">
        <v>1</v>
      </c>
      <c r="M161">
        <v>0</v>
      </c>
      <c r="N161">
        <f>I161</f>
        <v>1666.67</v>
      </c>
      <c r="O161" t="s">
        <v>21</v>
      </c>
      <c r="Q161" t="b">
        <v>0</v>
      </c>
      <c r="R161">
        <v>165.74</v>
      </c>
    </row>
    <row r="162" spans="1:18" hidden="1" x14ac:dyDescent="0.25">
      <c r="A162">
        <v>160</v>
      </c>
      <c r="B162" s="1">
        <v>45777</v>
      </c>
      <c r="D162" t="s">
        <v>30</v>
      </c>
      <c r="F162" t="s">
        <v>18</v>
      </c>
      <c r="G162" t="s">
        <v>49</v>
      </c>
      <c r="H162" t="s">
        <v>50</v>
      </c>
      <c r="I162">
        <v>22.8</v>
      </c>
      <c r="J162">
        <v>165.7355</v>
      </c>
      <c r="K162">
        <v>3778.77</v>
      </c>
      <c r="M162">
        <v>0</v>
      </c>
      <c r="N162">
        <v>3778.77</v>
      </c>
      <c r="O162" t="s">
        <v>21</v>
      </c>
      <c r="Q162" t="b">
        <v>0</v>
      </c>
      <c r="R162">
        <v>165.74</v>
      </c>
    </row>
    <row r="163" spans="1:18" hidden="1" x14ac:dyDescent="0.25">
      <c r="A163">
        <v>161</v>
      </c>
      <c r="B163" s="1">
        <v>45777</v>
      </c>
      <c r="D163" t="s">
        <v>30</v>
      </c>
      <c r="F163" t="s">
        <v>22</v>
      </c>
      <c r="G163">
        <v>9</v>
      </c>
      <c r="H163" t="s">
        <v>23</v>
      </c>
      <c r="I163">
        <v>28958.34</v>
      </c>
      <c r="J163">
        <v>11.5</v>
      </c>
      <c r="M163">
        <v>0</v>
      </c>
      <c r="N163" s="2">
        <v>3330.21</v>
      </c>
      <c r="O163" t="s">
        <v>21</v>
      </c>
      <c r="Q163" t="b">
        <v>0</v>
      </c>
      <c r="R163">
        <v>165.74</v>
      </c>
    </row>
    <row r="164" spans="1:18" hidden="1" x14ac:dyDescent="0.25">
      <c r="A164">
        <v>162</v>
      </c>
      <c r="B164" s="1">
        <v>45777</v>
      </c>
      <c r="D164" t="s">
        <v>30</v>
      </c>
      <c r="F164" t="s">
        <v>24</v>
      </c>
      <c r="G164" t="s">
        <v>34</v>
      </c>
      <c r="H164" t="s">
        <v>35</v>
      </c>
      <c r="I164">
        <v>18168.34</v>
      </c>
      <c r="J164">
        <v>1</v>
      </c>
      <c r="M164">
        <v>0</v>
      </c>
      <c r="O164" t="s">
        <v>21</v>
      </c>
      <c r="Q164" t="b">
        <v>0</v>
      </c>
      <c r="R164">
        <v>165.74</v>
      </c>
    </row>
    <row r="165" spans="1:18" hidden="1" x14ac:dyDescent="0.25">
      <c r="A165">
        <v>163</v>
      </c>
      <c r="B165" s="1">
        <v>45777</v>
      </c>
      <c r="D165" t="s">
        <v>30</v>
      </c>
      <c r="F165" t="s">
        <v>27</v>
      </c>
      <c r="G165" t="s">
        <v>28</v>
      </c>
      <c r="H165" t="s">
        <v>29</v>
      </c>
      <c r="I165">
        <v>28958.34</v>
      </c>
      <c r="J165">
        <v>37.26</v>
      </c>
      <c r="M165">
        <v>0</v>
      </c>
      <c r="N165">
        <v>10789.88</v>
      </c>
      <c r="O165" t="s">
        <v>21</v>
      </c>
      <c r="Q165" t="b">
        <v>0</v>
      </c>
      <c r="R165">
        <v>165.74</v>
      </c>
    </row>
    <row r="166" spans="1:18" hidden="1" x14ac:dyDescent="0.25">
      <c r="A166">
        <v>164</v>
      </c>
      <c r="B166" s="1">
        <v>45777</v>
      </c>
      <c r="D166" t="s">
        <v>36</v>
      </c>
      <c r="F166" t="s">
        <v>18</v>
      </c>
      <c r="G166" t="s">
        <v>19</v>
      </c>
      <c r="H166" t="s">
        <v>20</v>
      </c>
      <c r="I166">
        <v>119.07</v>
      </c>
      <c r="J166">
        <v>85.020200000000003</v>
      </c>
      <c r="K166">
        <v>10123.36</v>
      </c>
      <c r="M166">
        <v>0</v>
      </c>
      <c r="N166">
        <v>10123.36</v>
      </c>
      <c r="O166" t="s">
        <v>21</v>
      </c>
      <c r="Q166" t="b">
        <v>0</v>
      </c>
      <c r="R166">
        <v>85.02</v>
      </c>
    </row>
    <row r="167" spans="1:18" hidden="1" x14ac:dyDescent="0.25">
      <c r="A167">
        <v>165</v>
      </c>
      <c r="B167" s="1">
        <v>45777</v>
      </c>
      <c r="D167" t="s">
        <v>36</v>
      </c>
      <c r="F167" t="s">
        <v>18</v>
      </c>
      <c r="G167" t="s">
        <v>37</v>
      </c>
      <c r="H167" t="s">
        <v>38</v>
      </c>
      <c r="I167">
        <v>22.8</v>
      </c>
      <c r="J167">
        <v>85.020200000000003</v>
      </c>
      <c r="K167">
        <v>1938.46</v>
      </c>
      <c r="M167">
        <v>0</v>
      </c>
      <c r="N167">
        <v>1938.46</v>
      </c>
      <c r="O167" t="s">
        <v>21</v>
      </c>
      <c r="Q167" t="b">
        <v>0</v>
      </c>
      <c r="R167">
        <v>85.02</v>
      </c>
    </row>
    <row r="168" spans="1:18" hidden="1" x14ac:dyDescent="0.25">
      <c r="A168">
        <v>166</v>
      </c>
      <c r="B168" s="1">
        <v>45777</v>
      </c>
      <c r="D168" t="s">
        <v>36</v>
      </c>
      <c r="F168" t="s">
        <v>31</v>
      </c>
      <c r="G168" t="s">
        <v>39</v>
      </c>
      <c r="H168" t="s">
        <v>40</v>
      </c>
      <c r="I168">
        <v>22.8</v>
      </c>
      <c r="J168">
        <v>17.5</v>
      </c>
      <c r="M168">
        <v>0</v>
      </c>
      <c r="N168">
        <v>339.23</v>
      </c>
      <c r="O168" t="s">
        <v>21</v>
      </c>
      <c r="Q168" t="b">
        <v>0</v>
      </c>
      <c r="R168">
        <v>85.02</v>
      </c>
    </row>
    <row r="169" spans="1:18" hidden="1" x14ac:dyDescent="0.25">
      <c r="A169">
        <v>167</v>
      </c>
      <c r="B169" s="1">
        <v>45777</v>
      </c>
      <c r="D169" t="s">
        <v>36</v>
      </c>
      <c r="F169" t="s">
        <v>18</v>
      </c>
      <c r="G169" t="s">
        <v>49</v>
      </c>
      <c r="H169" t="s">
        <v>50</v>
      </c>
      <c r="I169">
        <v>22.8</v>
      </c>
      <c r="J169">
        <v>85.020200000000003</v>
      </c>
      <c r="K169">
        <v>1938.46</v>
      </c>
      <c r="M169">
        <v>0</v>
      </c>
      <c r="N169">
        <v>1938.46</v>
      </c>
      <c r="O169" t="s">
        <v>21</v>
      </c>
      <c r="Q169" t="b">
        <v>0</v>
      </c>
      <c r="R169">
        <v>85.02</v>
      </c>
    </row>
    <row r="170" spans="1:18" hidden="1" x14ac:dyDescent="0.25">
      <c r="A170">
        <v>168</v>
      </c>
      <c r="B170" s="1">
        <v>45777</v>
      </c>
      <c r="D170" t="s">
        <v>36</v>
      </c>
      <c r="F170" t="s">
        <v>31</v>
      </c>
      <c r="G170" t="s">
        <v>41</v>
      </c>
      <c r="H170" t="s">
        <v>42</v>
      </c>
      <c r="I170">
        <v>1833.33</v>
      </c>
      <c r="J170">
        <v>1</v>
      </c>
      <c r="M170">
        <v>0</v>
      </c>
      <c r="N170">
        <f>I170</f>
        <v>1833.33</v>
      </c>
      <c r="O170" t="s">
        <v>21</v>
      </c>
      <c r="Q170" t="b">
        <v>0</v>
      </c>
      <c r="R170">
        <v>85.02</v>
      </c>
    </row>
    <row r="171" spans="1:18" hidden="1" x14ac:dyDescent="0.25">
      <c r="A171">
        <v>169</v>
      </c>
      <c r="B171" s="1">
        <v>45777</v>
      </c>
      <c r="D171" t="s">
        <v>36</v>
      </c>
      <c r="F171" t="s">
        <v>22</v>
      </c>
      <c r="G171">
        <v>9</v>
      </c>
      <c r="H171" t="s">
        <v>23</v>
      </c>
      <c r="I171">
        <v>14000.28</v>
      </c>
      <c r="J171">
        <v>11.5</v>
      </c>
      <c r="M171">
        <v>0</v>
      </c>
      <c r="N171" s="2">
        <v>1610.03</v>
      </c>
      <c r="O171" t="s">
        <v>21</v>
      </c>
      <c r="Q171" t="b">
        <v>0</v>
      </c>
      <c r="R171">
        <v>85.02</v>
      </c>
    </row>
    <row r="172" spans="1:18" hidden="1" x14ac:dyDescent="0.25">
      <c r="A172">
        <v>170</v>
      </c>
      <c r="B172" s="1">
        <v>45777</v>
      </c>
      <c r="D172" t="s">
        <v>36</v>
      </c>
      <c r="F172" t="s">
        <v>43</v>
      </c>
      <c r="G172" t="s">
        <v>44</v>
      </c>
      <c r="H172" t="s">
        <v>45</v>
      </c>
      <c r="I172">
        <v>583.33000000000004</v>
      </c>
      <c r="J172">
        <v>1</v>
      </c>
      <c r="M172">
        <v>0</v>
      </c>
      <c r="N172">
        <v>583.33000000000004</v>
      </c>
      <c r="O172" t="s">
        <v>21</v>
      </c>
      <c r="Q172" t="b">
        <v>0</v>
      </c>
      <c r="R172">
        <v>85.02</v>
      </c>
    </row>
    <row r="173" spans="1:18" hidden="1" x14ac:dyDescent="0.25">
      <c r="A173">
        <v>171</v>
      </c>
      <c r="B173" s="1">
        <v>45777</v>
      </c>
      <c r="D173" t="s">
        <v>36</v>
      </c>
      <c r="F173" t="s">
        <v>24</v>
      </c>
      <c r="G173" t="s">
        <v>46</v>
      </c>
      <c r="H173" t="s">
        <v>47</v>
      </c>
      <c r="I173">
        <v>1833.33</v>
      </c>
      <c r="J173">
        <v>1</v>
      </c>
      <c r="M173">
        <v>0</v>
      </c>
      <c r="O173" t="s">
        <v>21</v>
      </c>
      <c r="Q173" t="b">
        <v>0</v>
      </c>
      <c r="R173">
        <v>85.02</v>
      </c>
    </row>
    <row r="174" spans="1:18" hidden="1" x14ac:dyDescent="0.25">
      <c r="A174">
        <v>172</v>
      </c>
      <c r="B174" s="1">
        <v>45777</v>
      </c>
      <c r="D174" t="s">
        <v>36</v>
      </c>
      <c r="F174" t="s">
        <v>24</v>
      </c>
      <c r="G174" t="s">
        <v>48</v>
      </c>
      <c r="H174" t="s">
        <v>36</v>
      </c>
      <c r="I174">
        <v>9228.18</v>
      </c>
      <c r="J174">
        <v>1</v>
      </c>
      <c r="M174">
        <v>0</v>
      </c>
      <c r="O174" t="s">
        <v>21</v>
      </c>
      <c r="Q174" t="b">
        <v>0</v>
      </c>
      <c r="R174">
        <v>85.02</v>
      </c>
    </row>
    <row r="175" spans="1:18" hidden="1" x14ac:dyDescent="0.25">
      <c r="A175">
        <v>173</v>
      </c>
      <c r="B175" s="1">
        <v>45777</v>
      </c>
      <c r="D175" t="s">
        <v>36</v>
      </c>
      <c r="F175" t="s">
        <v>27</v>
      </c>
      <c r="G175" t="s">
        <v>28</v>
      </c>
      <c r="H175" t="s">
        <v>29</v>
      </c>
      <c r="I175">
        <v>15589.51</v>
      </c>
      <c r="J175">
        <v>29.05</v>
      </c>
      <c r="M175">
        <v>0</v>
      </c>
      <c r="N175">
        <v>4528.75</v>
      </c>
      <c r="O175" t="s">
        <v>21</v>
      </c>
      <c r="Q175" t="b">
        <v>0</v>
      </c>
      <c r="R175">
        <v>85.02</v>
      </c>
    </row>
    <row r="176" spans="1:18" hidden="1" x14ac:dyDescent="0.25">
      <c r="A176">
        <v>174</v>
      </c>
      <c r="B176" s="1">
        <v>45808</v>
      </c>
      <c r="D176" t="s">
        <v>30</v>
      </c>
      <c r="F176" t="s">
        <v>18</v>
      </c>
      <c r="G176" t="s">
        <v>19</v>
      </c>
      <c r="H176" t="s">
        <v>20</v>
      </c>
      <c r="I176">
        <v>157.07</v>
      </c>
      <c r="J176">
        <v>165.7355</v>
      </c>
      <c r="K176">
        <v>26032.080000000002</v>
      </c>
      <c r="M176">
        <v>0</v>
      </c>
      <c r="N176">
        <v>26032.080000000002</v>
      </c>
      <c r="O176" t="s">
        <v>21</v>
      </c>
      <c r="Q176" t="b">
        <v>0</v>
      </c>
      <c r="R176">
        <v>165.74</v>
      </c>
    </row>
    <row r="177" spans="1:18" hidden="1" x14ac:dyDescent="0.25">
      <c r="A177">
        <v>175</v>
      </c>
      <c r="B177" s="1">
        <v>45808</v>
      </c>
      <c r="D177" t="s">
        <v>30</v>
      </c>
      <c r="F177" t="s">
        <v>18</v>
      </c>
      <c r="G177" t="s">
        <v>49</v>
      </c>
      <c r="H177" t="s">
        <v>50</v>
      </c>
      <c r="I177">
        <v>7.6</v>
      </c>
      <c r="J177">
        <v>165.7355</v>
      </c>
      <c r="K177">
        <v>1259.5899999999999</v>
      </c>
      <c r="M177">
        <v>0</v>
      </c>
      <c r="N177">
        <v>1259.5899999999999</v>
      </c>
      <c r="O177" t="s">
        <v>21</v>
      </c>
      <c r="Q177" t="b">
        <v>0</v>
      </c>
      <c r="R177">
        <v>165.74</v>
      </c>
    </row>
    <row r="178" spans="1:18" hidden="1" x14ac:dyDescent="0.25">
      <c r="A178">
        <v>176</v>
      </c>
      <c r="B178" s="1">
        <v>45808</v>
      </c>
      <c r="D178" t="s">
        <v>30</v>
      </c>
      <c r="F178" t="s">
        <v>31</v>
      </c>
      <c r="G178" t="s">
        <v>32</v>
      </c>
      <c r="H178" t="s">
        <v>33</v>
      </c>
      <c r="I178">
        <v>1666.67</v>
      </c>
      <c r="J178">
        <v>1</v>
      </c>
      <c r="M178">
        <v>0</v>
      </c>
      <c r="N178">
        <f>I178</f>
        <v>1666.67</v>
      </c>
      <c r="O178" t="s">
        <v>21</v>
      </c>
      <c r="Q178" t="b">
        <v>0</v>
      </c>
      <c r="R178">
        <v>165.74</v>
      </c>
    </row>
    <row r="179" spans="1:18" hidden="1" x14ac:dyDescent="0.25">
      <c r="A179">
        <v>177</v>
      </c>
      <c r="B179" s="1">
        <v>45808</v>
      </c>
      <c r="D179" t="s">
        <v>30</v>
      </c>
      <c r="F179" t="s">
        <v>22</v>
      </c>
      <c r="G179">
        <v>9</v>
      </c>
      <c r="H179" t="s">
        <v>23</v>
      </c>
      <c r="I179">
        <v>28958.34</v>
      </c>
      <c r="J179">
        <v>11.5</v>
      </c>
      <c r="M179">
        <v>0</v>
      </c>
      <c r="N179" s="2">
        <v>3330.21</v>
      </c>
      <c r="O179" t="s">
        <v>21</v>
      </c>
      <c r="Q179" t="b">
        <v>0</v>
      </c>
      <c r="R179">
        <v>165.74</v>
      </c>
    </row>
    <row r="180" spans="1:18" hidden="1" x14ac:dyDescent="0.25">
      <c r="A180">
        <v>178</v>
      </c>
      <c r="B180" s="1">
        <v>45808</v>
      </c>
      <c r="D180" t="s">
        <v>30</v>
      </c>
      <c r="F180" t="s">
        <v>24</v>
      </c>
      <c r="G180" t="s">
        <v>34</v>
      </c>
      <c r="H180" t="s">
        <v>35</v>
      </c>
      <c r="I180">
        <v>18168.34</v>
      </c>
      <c r="J180">
        <v>1</v>
      </c>
      <c r="M180">
        <v>0</v>
      </c>
      <c r="O180" t="s">
        <v>21</v>
      </c>
      <c r="Q180" t="b">
        <v>0</v>
      </c>
      <c r="R180">
        <v>165.74</v>
      </c>
    </row>
    <row r="181" spans="1:18" hidden="1" x14ac:dyDescent="0.25">
      <c r="A181">
        <v>179</v>
      </c>
      <c r="B181" s="1">
        <v>45808</v>
      </c>
      <c r="D181" t="s">
        <v>30</v>
      </c>
      <c r="F181" t="s">
        <v>27</v>
      </c>
      <c r="G181" t="s">
        <v>28</v>
      </c>
      <c r="H181" t="s">
        <v>29</v>
      </c>
      <c r="I181">
        <v>28958.34</v>
      </c>
      <c r="J181">
        <v>37.26</v>
      </c>
      <c r="M181">
        <v>0</v>
      </c>
      <c r="N181">
        <v>10789.88</v>
      </c>
      <c r="O181" t="s">
        <v>21</v>
      </c>
      <c r="Q181" t="b">
        <v>0</v>
      </c>
      <c r="R181">
        <v>165.74</v>
      </c>
    </row>
    <row r="182" spans="1:18" hidden="1" x14ac:dyDescent="0.25">
      <c r="A182">
        <v>180</v>
      </c>
      <c r="B182" s="1">
        <v>45808</v>
      </c>
      <c r="D182" t="s">
        <v>36</v>
      </c>
      <c r="F182" t="s">
        <v>18</v>
      </c>
      <c r="G182" t="s">
        <v>19</v>
      </c>
      <c r="H182" t="s">
        <v>20</v>
      </c>
      <c r="I182">
        <v>157.07</v>
      </c>
      <c r="J182">
        <v>85.020200000000003</v>
      </c>
      <c r="K182">
        <v>13354.13</v>
      </c>
      <c r="M182">
        <v>0</v>
      </c>
      <c r="N182">
        <v>13354.13</v>
      </c>
      <c r="O182" t="s">
        <v>21</v>
      </c>
      <c r="Q182" t="b">
        <v>0</v>
      </c>
      <c r="R182">
        <v>85.02</v>
      </c>
    </row>
    <row r="183" spans="1:18" hidden="1" x14ac:dyDescent="0.25">
      <c r="A183">
        <v>181</v>
      </c>
      <c r="B183" s="1">
        <v>45808</v>
      </c>
      <c r="D183" t="s">
        <v>36</v>
      </c>
      <c r="F183" t="s">
        <v>18</v>
      </c>
      <c r="G183" t="s">
        <v>49</v>
      </c>
      <c r="H183" t="s">
        <v>50</v>
      </c>
      <c r="I183">
        <v>7.6</v>
      </c>
      <c r="J183">
        <v>85.020200000000003</v>
      </c>
      <c r="K183">
        <v>646.15</v>
      </c>
      <c r="M183">
        <v>0</v>
      </c>
      <c r="N183">
        <v>646.15</v>
      </c>
      <c r="O183" t="s">
        <v>21</v>
      </c>
      <c r="Q183" t="b">
        <v>0</v>
      </c>
      <c r="R183">
        <v>85.02</v>
      </c>
    </row>
    <row r="184" spans="1:18" hidden="1" x14ac:dyDescent="0.25">
      <c r="A184">
        <v>182</v>
      </c>
      <c r="B184" s="1">
        <v>45808</v>
      </c>
      <c r="D184" t="s">
        <v>36</v>
      </c>
      <c r="F184" t="s">
        <v>31</v>
      </c>
      <c r="G184" t="s">
        <v>41</v>
      </c>
      <c r="H184" t="s">
        <v>42</v>
      </c>
      <c r="I184">
        <v>1833.33</v>
      </c>
      <c r="J184">
        <v>1</v>
      </c>
      <c r="M184">
        <v>0</v>
      </c>
      <c r="N184">
        <f>I184</f>
        <v>1833.33</v>
      </c>
      <c r="O184" t="s">
        <v>21</v>
      </c>
      <c r="Q184" t="b">
        <v>0</v>
      </c>
      <c r="R184">
        <v>85.02</v>
      </c>
    </row>
    <row r="185" spans="1:18" hidden="1" x14ac:dyDescent="0.25">
      <c r="A185">
        <v>183</v>
      </c>
      <c r="B185" s="1">
        <v>45808</v>
      </c>
      <c r="D185" t="s">
        <v>36</v>
      </c>
      <c r="F185" t="s">
        <v>22</v>
      </c>
      <c r="G185">
        <v>9</v>
      </c>
      <c r="H185" t="s">
        <v>23</v>
      </c>
      <c r="I185">
        <v>14000.28</v>
      </c>
      <c r="J185">
        <v>11.5</v>
      </c>
      <c r="M185">
        <v>0</v>
      </c>
      <c r="N185" s="2">
        <v>1610.03</v>
      </c>
      <c r="O185" t="s">
        <v>21</v>
      </c>
      <c r="Q185" t="b">
        <v>0</v>
      </c>
      <c r="R185">
        <v>85.02</v>
      </c>
    </row>
    <row r="186" spans="1:18" hidden="1" x14ac:dyDescent="0.25">
      <c r="A186">
        <v>184</v>
      </c>
      <c r="B186" s="1">
        <v>45808</v>
      </c>
      <c r="D186" t="s">
        <v>36</v>
      </c>
      <c r="F186" t="s">
        <v>43</v>
      </c>
      <c r="G186" t="s">
        <v>44</v>
      </c>
      <c r="H186" t="s">
        <v>45</v>
      </c>
      <c r="I186">
        <v>583.33000000000004</v>
      </c>
      <c r="J186">
        <v>1</v>
      </c>
      <c r="M186">
        <v>0</v>
      </c>
      <c r="N186">
        <v>583.33000000000004</v>
      </c>
      <c r="O186" t="s">
        <v>21</v>
      </c>
      <c r="Q186" t="b">
        <v>0</v>
      </c>
      <c r="R186">
        <v>85.02</v>
      </c>
    </row>
    <row r="187" spans="1:18" hidden="1" x14ac:dyDescent="0.25">
      <c r="A187">
        <v>185</v>
      </c>
      <c r="B187" s="1">
        <v>45808</v>
      </c>
      <c r="D187" t="s">
        <v>36</v>
      </c>
      <c r="F187" t="s">
        <v>24</v>
      </c>
      <c r="G187" t="s">
        <v>46</v>
      </c>
      <c r="H187" t="s">
        <v>47</v>
      </c>
      <c r="I187">
        <v>1833.33</v>
      </c>
      <c r="J187">
        <v>1</v>
      </c>
      <c r="M187">
        <v>0</v>
      </c>
      <c r="O187" t="s">
        <v>21</v>
      </c>
      <c r="Q187" t="b">
        <v>0</v>
      </c>
      <c r="R187">
        <v>85.02</v>
      </c>
    </row>
    <row r="188" spans="1:18" hidden="1" x14ac:dyDescent="0.25">
      <c r="A188">
        <v>186</v>
      </c>
      <c r="B188" s="1">
        <v>45808</v>
      </c>
      <c r="D188" t="s">
        <v>36</v>
      </c>
      <c r="F188" t="s">
        <v>24</v>
      </c>
      <c r="G188" t="s">
        <v>48</v>
      </c>
      <c r="H188" t="s">
        <v>36</v>
      </c>
      <c r="I188">
        <v>9022.9500000000007</v>
      </c>
      <c r="J188">
        <v>1</v>
      </c>
      <c r="M188">
        <v>0</v>
      </c>
      <c r="O188" t="s">
        <v>21</v>
      </c>
      <c r="Q188" t="b">
        <v>0</v>
      </c>
      <c r="R188">
        <v>85.02</v>
      </c>
    </row>
    <row r="189" spans="1:18" hidden="1" x14ac:dyDescent="0.25">
      <c r="A189">
        <v>187</v>
      </c>
      <c r="B189" s="1">
        <v>45808</v>
      </c>
      <c r="D189" t="s">
        <v>36</v>
      </c>
      <c r="F189" t="s">
        <v>27</v>
      </c>
      <c r="G189" t="s">
        <v>28</v>
      </c>
      <c r="H189" t="s">
        <v>29</v>
      </c>
      <c r="I189">
        <v>15250.28</v>
      </c>
      <c r="J189">
        <v>28.81</v>
      </c>
      <c r="M189">
        <v>0</v>
      </c>
      <c r="N189">
        <v>4393.6099999999997</v>
      </c>
      <c r="O189" t="s">
        <v>21</v>
      </c>
      <c r="Q189" t="b">
        <v>0</v>
      </c>
      <c r="R189">
        <v>85.02</v>
      </c>
    </row>
    <row r="190" spans="1:18" hidden="1" x14ac:dyDescent="0.25">
      <c r="A190">
        <v>188</v>
      </c>
      <c r="B190" s="1">
        <v>45838</v>
      </c>
      <c r="D190" t="s">
        <v>30</v>
      </c>
      <c r="F190" t="s">
        <v>18</v>
      </c>
      <c r="G190" t="s">
        <v>19</v>
      </c>
      <c r="H190" t="s">
        <v>20</v>
      </c>
      <c r="I190">
        <v>164.67</v>
      </c>
      <c r="J190">
        <v>165.7355</v>
      </c>
      <c r="K190">
        <v>27291.67</v>
      </c>
      <c r="M190">
        <v>0</v>
      </c>
      <c r="N190">
        <v>27291.67</v>
      </c>
      <c r="O190" t="s">
        <v>21</v>
      </c>
      <c r="Q190" t="b">
        <v>0</v>
      </c>
      <c r="R190">
        <v>165.74</v>
      </c>
    </row>
    <row r="191" spans="1:18" hidden="1" x14ac:dyDescent="0.25">
      <c r="A191">
        <v>189</v>
      </c>
      <c r="B191" s="1">
        <v>45838</v>
      </c>
      <c r="D191" t="s">
        <v>30</v>
      </c>
      <c r="F191" t="s">
        <v>31</v>
      </c>
      <c r="G191" t="s">
        <v>32</v>
      </c>
      <c r="H191" t="s">
        <v>33</v>
      </c>
      <c r="I191">
        <v>1666.67</v>
      </c>
      <c r="J191">
        <v>1</v>
      </c>
      <c r="M191">
        <v>0</v>
      </c>
      <c r="N191">
        <f>I191</f>
        <v>1666.67</v>
      </c>
      <c r="O191" t="s">
        <v>21</v>
      </c>
      <c r="Q191" t="b">
        <v>0</v>
      </c>
      <c r="R191">
        <v>165.74</v>
      </c>
    </row>
    <row r="192" spans="1:18" hidden="1" x14ac:dyDescent="0.25">
      <c r="A192">
        <v>190</v>
      </c>
      <c r="B192" s="1">
        <v>45838</v>
      </c>
      <c r="D192" t="s">
        <v>30</v>
      </c>
      <c r="F192" t="s">
        <v>22</v>
      </c>
      <c r="G192">
        <v>9</v>
      </c>
      <c r="H192" t="s">
        <v>23</v>
      </c>
      <c r="I192">
        <v>28958.34</v>
      </c>
      <c r="J192">
        <v>11.5</v>
      </c>
      <c r="M192">
        <v>0</v>
      </c>
      <c r="N192" s="2">
        <v>3330.21</v>
      </c>
      <c r="O192" t="s">
        <v>21</v>
      </c>
      <c r="Q192" t="b">
        <v>0</v>
      </c>
      <c r="R192">
        <v>165.74</v>
      </c>
    </row>
    <row r="193" spans="1:18" hidden="1" x14ac:dyDescent="0.25">
      <c r="A193">
        <v>191</v>
      </c>
      <c r="B193" s="1">
        <v>45838</v>
      </c>
      <c r="D193" t="s">
        <v>30</v>
      </c>
      <c r="F193" t="s">
        <v>24</v>
      </c>
      <c r="G193" t="s">
        <v>34</v>
      </c>
      <c r="H193" t="s">
        <v>35</v>
      </c>
      <c r="I193">
        <v>18168.34</v>
      </c>
      <c r="J193">
        <v>1</v>
      </c>
      <c r="M193">
        <v>0</v>
      </c>
      <c r="O193" t="s">
        <v>21</v>
      </c>
      <c r="Q193" t="b">
        <v>0</v>
      </c>
      <c r="R193">
        <v>165.74</v>
      </c>
    </row>
    <row r="194" spans="1:18" hidden="1" x14ac:dyDescent="0.25">
      <c r="A194">
        <v>192</v>
      </c>
      <c r="B194" s="1">
        <v>45838</v>
      </c>
      <c r="D194" t="s">
        <v>30</v>
      </c>
      <c r="F194" t="s">
        <v>27</v>
      </c>
      <c r="G194" t="s">
        <v>28</v>
      </c>
      <c r="H194" t="s">
        <v>29</v>
      </c>
      <c r="I194">
        <v>28958.34</v>
      </c>
      <c r="J194">
        <v>37.26</v>
      </c>
      <c r="M194">
        <v>0</v>
      </c>
      <c r="N194">
        <v>10789.88</v>
      </c>
      <c r="O194" t="s">
        <v>21</v>
      </c>
      <c r="Q194" t="b">
        <v>0</v>
      </c>
      <c r="R194">
        <v>165.74</v>
      </c>
    </row>
    <row r="195" spans="1:18" hidden="1" x14ac:dyDescent="0.25">
      <c r="A195">
        <v>193</v>
      </c>
      <c r="B195" s="1">
        <v>45838</v>
      </c>
      <c r="D195" t="s">
        <v>36</v>
      </c>
      <c r="F195" t="s">
        <v>18</v>
      </c>
      <c r="G195" t="s">
        <v>19</v>
      </c>
      <c r="H195" t="s">
        <v>20</v>
      </c>
      <c r="I195">
        <v>164.67</v>
      </c>
      <c r="J195">
        <v>85.020200000000003</v>
      </c>
      <c r="K195">
        <v>14000.28</v>
      </c>
      <c r="M195">
        <v>0</v>
      </c>
      <c r="N195">
        <v>14000.28</v>
      </c>
      <c r="O195" t="s">
        <v>21</v>
      </c>
      <c r="Q195" t="b">
        <v>0</v>
      </c>
      <c r="R195">
        <v>85.02</v>
      </c>
    </row>
    <row r="196" spans="1:18" hidden="1" x14ac:dyDescent="0.25">
      <c r="A196">
        <v>194</v>
      </c>
      <c r="B196" s="1">
        <v>45838</v>
      </c>
      <c r="D196" t="s">
        <v>36</v>
      </c>
      <c r="F196" t="s">
        <v>31</v>
      </c>
      <c r="G196" t="s">
        <v>41</v>
      </c>
      <c r="H196" t="s">
        <v>42</v>
      </c>
      <c r="I196">
        <v>1833.33</v>
      </c>
      <c r="J196">
        <v>1</v>
      </c>
      <c r="M196">
        <v>0</v>
      </c>
      <c r="N196">
        <f>I196</f>
        <v>1833.33</v>
      </c>
      <c r="O196" t="s">
        <v>21</v>
      </c>
      <c r="Q196" t="b">
        <v>0</v>
      </c>
      <c r="R196">
        <v>85.02</v>
      </c>
    </row>
    <row r="197" spans="1:18" hidden="1" x14ac:dyDescent="0.25">
      <c r="A197">
        <v>195</v>
      </c>
      <c r="B197" s="1">
        <v>45838</v>
      </c>
      <c r="D197" t="s">
        <v>36</v>
      </c>
      <c r="F197" t="s">
        <v>22</v>
      </c>
      <c r="G197">
        <v>9</v>
      </c>
      <c r="H197" t="s">
        <v>23</v>
      </c>
      <c r="I197">
        <v>14000.28</v>
      </c>
      <c r="J197">
        <v>11.5</v>
      </c>
      <c r="M197">
        <v>0</v>
      </c>
      <c r="N197" s="2">
        <v>1610.03</v>
      </c>
      <c r="O197" t="s">
        <v>21</v>
      </c>
      <c r="Q197" t="b">
        <v>0</v>
      </c>
      <c r="R197">
        <v>85.02</v>
      </c>
    </row>
    <row r="198" spans="1:18" hidden="1" x14ac:dyDescent="0.25">
      <c r="A198">
        <v>196</v>
      </c>
      <c r="B198" s="1">
        <v>45838</v>
      </c>
      <c r="D198" t="s">
        <v>36</v>
      </c>
      <c r="F198" t="s">
        <v>43</v>
      </c>
      <c r="G198" t="s">
        <v>44</v>
      </c>
      <c r="H198" t="s">
        <v>45</v>
      </c>
      <c r="I198">
        <v>583.33000000000004</v>
      </c>
      <c r="J198">
        <v>1</v>
      </c>
      <c r="M198">
        <v>0</v>
      </c>
      <c r="N198">
        <v>583.33000000000004</v>
      </c>
      <c r="O198" t="s">
        <v>21</v>
      </c>
      <c r="Q198" t="b">
        <v>0</v>
      </c>
      <c r="R198">
        <v>85.02</v>
      </c>
    </row>
    <row r="199" spans="1:18" hidden="1" x14ac:dyDescent="0.25">
      <c r="A199">
        <v>197</v>
      </c>
      <c r="B199" s="1">
        <v>45838</v>
      </c>
      <c r="D199" t="s">
        <v>36</v>
      </c>
      <c r="F199" t="s">
        <v>24</v>
      </c>
      <c r="G199" t="s">
        <v>46</v>
      </c>
      <c r="H199" t="s">
        <v>47</v>
      </c>
      <c r="I199">
        <v>1833.33</v>
      </c>
      <c r="J199">
        <v>1</v>
      </c>
      <c r="M199">
        <v>0</v>
      </c>
      <c r="O199" t="s">
        <v>21</v>
      </c>
      <c r="Q199" t="b">
        <v>0</v>
      </c>
      <c r="R199">
        <v>85.02</v>
      </c>
    </row>
    <row r="200" spans="1:18" hidden="1" x14ac:dyDescent="0.25">
      <c r="A200">
        <v>198</v>
      </c>
      <c r="B200" s="1">
        <v>45838</v>
      </c>
      <c r="D200" t="s">
        <v>36</v>
      </c>
      <c r="F200" t="s">
        <v>24</v>
      </c>
      <c r="G200" t="s">
        <v>48</v>
      </c>
      <c r="H200" t="s">
        <v>36</v>
      </c>
      <c r="I200">
        <v>9022.9500000000007</v>
      </c>
      <c r="J200">
        <v>1</v>
      </c>
      <c r="M200">
        <v>0</v>
      </c>
      <c r="O200" t="s">
        <v>21</v>
      </c>
      <c r="Q200" t="b">
        <v>0</v>
      </c>
      <c r="R200">
        <v>85.02</v>
      </c>
    </row>
    <row r="201" spans="1:18" hidden="1" x14ac:dyDescent="0.25">
      <c r="A201">
        <v>199</v>
      </c>
      <c r="B201" s="1">
        <v>45838</v>
      </c>
      <c r="D201" t="s">
        <v>36</v>
      </c>
      <c r="F201" t="s">
        <v>27</v>
      </c>
      <c r="G201" t="s">
        <v>28</v>
      </c>
      <c r="H201" t="s">
        <v>29</v>
      </c>
      <c r="I201">
        <v>15250.28</v>
      </c>
      <c r="J201">
        <v>28.81</v>
      </c>
      <c r="M201">
        <v>0</v>
      </c>
      <c r="N201">
        <v>4393.6099999999997</v>
      </c>
      <c r="O201" t="s">
        <v>21</v>
      </c>
      <c r="Q201" t="b">
        <v>0</v>
      </c>
      <c r="R201">
        <v>85.02</v>
      </c>
    </row>
  </sheetData>
  <autoFilter ref="A1:R201" xr:uid="{E258269D-B817-4E68-87B1-9CA73544897F}">
    <filterColumn colId="6">
      <filters>
        <filter val="ALTERM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With_Rates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Smith</dc:creator>
  <cp:lastModifiedBy>Sam Smith</cp:lastModifiedBy>
  <dcterms:created xsi:type="dcterms:W3CDTF">2025-11-13T00:29:59Z</dcterms:created>
  <dcterms:modified xsi:type="dcterms:W3CDTF">2025-11-13T00:56:17Z</dcterms:modified>
</cp:coreProperties>
</file>